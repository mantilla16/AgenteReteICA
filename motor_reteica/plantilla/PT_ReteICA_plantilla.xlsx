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asas-my.sharepoint.com/personal/amantilla_rbcol_co/Documents/DOCUMENTOS ALBERTO/Automatizaciones/Impuestos/Grupo Daabon/"/>
    </mc:Choice>
  </mc:AlternateContent>
  <xr:revisionPtr revIDLastSave="5" documentId="13_ncr:1_{39E95312-DA90-42C0-B65D-E0442874C57C}" xr6:coauthVersionLast="47" xr6:coauthVersionMax="47" xr10:uidLastSave="{A851616C-8889-428E-9E11-D10192E4080A}"/>
  <bookViews>
    <workbookView xWindow="-103" yWindow="-103" windowWidth="22149" windowHeight="13200" tabRatio="898" activeTab="1" xr2:uid="{65F656BC-9253-4F81-9E2A-1BCE06A58519}"/>
  </bookViews>
  <sheets>
    <sheet name="Check List" sheetId="73" r:id="rId1"/>
    <sheet name="DECLARACION" sheetId="64" r:id="rId2"/>
    <sheet name="Pago" sheetId="95" r:id="rId3"/>
    <sheet name="REVISION ICA" sheetId="1" r:id="rId4"/>
    <sheet name="BORRADOR TERLICA" sheetId="106" r:id="rId5"/>
    <sheet name="BALANCE" sheetId="107" r:id="rId6"/>
    <sheet name="AUX FISCAL" sheetId="104" r:id="rId7"/>
    <sheet name="Validación de facturas" sheetId="74" r:id="rId8"/>
    <sheet name="CUADRO RETEICA" sheetId="105" r:id="rId9"/>
  </sheets>
  <externalReferences>
    <externalReference r:id="rId10"/>
    <externalReference r:id="rId11"/>
    <externalReference r:id="rId12"/>
  </externalReferences>
  <definedNames>
    <definedName name="_xlnm._FilterDatabase" localSheetId="5" hidden="1">BALANCE!$B$4:$J$348</definedName>
    <definedName name="Adesiv">[1]PARAMETROS!$E$40</definedName>
    <definedName name="Año">[1]PARAMETROS!$K$331</definedName>
    <definedName name="apell1">[1]PARAMETROS!$E$57</definedName>
    <definedName name="Bimestralmente" comment="cada dos meses">#REF!</definedName>
    <definedName name="C_100">[1]PARAMETROS!$C$99</definedName>
    <definedName name="C_104">[1]PARAMETROS!$C$103</definedName>
    <definedName name="C_108">[1]PARAMETROS!$C$107</definedName>
    <definedName name="C_112">[1]PARAMETROS!$C$111</definedName>
    <definedName name="C_116">[1]PARAMETROS!$C$115</definedName>
    <definedName name="C_120">[1]PARAMETROS!$C$119</definedName>
    <definedName name="C_124">[1]PARAMETROS!$C$123</definedName>
    <definedName name="C_128">[1]PARAMETROS!$C$127</definedName>
    <definedName name="C_132">[1]PARAMETROS!$C$131</definedName>
    <definedName name="C_136">[1]PARAMETROS!$C$135</definedName>
    <definedName name="C_140">[1]PARAMETROS!$C$139</definedName>
    <definedName name="C_149">[1]PARAMETROS!$C$148</definedName>
    <definedName name="C_153">[1]PARAMETROS!$C$152</definedName>
    <definedName name="C_157">[1]PARAMETROS!$C$156</definedName>
    <definedName name="C_161">[1]PARAMETROS!$C$160</definedName>
    <definedName name="C_165">[1]PARAMETROS!$C$164</definedName>
    <definedName name="C_169">[1]PARAMETROS!$C$168</definedName>
    <definedName name="C_173">[1]PARAMETROS!$C$172</definedName>
    <definedName name="C_177">[1]PARAMETROS!$C$176</definedName>
    <definedName name="C_181">[1]PARAMETROS!$C$180</definedName>
    <definedName name="C_289">[1]PARAMETROS!$C$288</definedName>
    <definedName name="C_293">[1]PARAMETROS!$C$292</definedName>
    <definedName name="C_299">[1]PARAMETROS!$C$298</definedName>
    <definedName name="C_303">[1]PARAMETROS!$C$302</definedName>
    <definedName name="C_307">[1]PARAMETROS!$C$306</definedName>
    <definedName name="C_315">[1]PARAMETROS!$C$310</definedName>
    <definedName name="C_316">[1]PARAMETROS!$C$311</definedName>
    <definedName name="C_320">[1]PARAMETROS!$C$315</definedName>
    <definedName name="C_321">[1]PARAMETROS!$C$316</definedName>
    <definedName name="C_325">[1]PARAMETROS!$C$320</definedName>
    <definedName name="C_84">[1]PARAMETROS!$C$83</definedName>
    <definedName name="C_88">[1]PARAMETROS!$C$87</definedName>
    <definedName name="C_92">[1]PARAMETROS!$C$91</definedName>
    <definedName name="C_96">[1]PARAMETROS!$C$95</definedName>
    <definedName name="CedDec">[1]PARAMETROS!$E$55</definedName>
    <definedName name="COD_DIR_SEC">[1]PARAMETROS!$M$33</definedName>
    <definedName name="CodRep">[1]PARAMETROS!$K$76</definedName>
    <definedName name="Conceptos">[2]Listas!$B$3:$B$27</definedName>
    <definedName name="Cuatrimestralmente" comment="cada cuatro años">#REF!</definedName>
    <definedName name="dig_verf">[1]PARAMETROS!$I$17</definedName>
    <definedName name="DVDec">[1]PARAMETROS!$I$55</definedName>
    <definedName name="ExportarAExcel" localSheetId="0">#REF!</definedName>
    <definedName name="ExportarAExcel" localSheetId="7">#REF!</definedName>
    <definedName name="ExportarAExcel">#REF!</definedName>
    <definedName name="FCont">[1]PARAMETROS!$G$73</definedName>
    <definedName name="Mes">[1]PARAMETROS!$E$13</definedName>
    <definedName name="Nit">[1]PARAMETROS!$E$17</definedName>
    <definedName name="otrosnom">[1]PARAMETROS!$I$59</definedName>
    <definedName name="p_apellido">[1]PARAMETROS!$E$27</definedName>
    <definedName name="p_nombre">[1]PARAMETROS!$E$29</definedName>
    <definedName name="Periodo" comment="perido de pago">#REF!</definedName>
    <definedName name="PerNatjud">[1]PARAMETROS!$L$22</definedName>
    <definedName name="R_28">[1]PARAMETROS!$T$90</definedName>
    <definedName name="R_29">[1]PARAMETROS!$T$94</definedName>
    <definedName name="R_30">[1]PARAMETROS!$T$98</definedName>
    <definedName name="R_31">[1]PARAMETROS!$T$102</definedName>
    <definedName name="R_32">[1]PARAMETROS!$T$106</definedName>
    <definedName name="R_33">[1]PARAMETROS!$T$110</definedName>
    <definedName name="R_34">[1]PARAMETROS!$T$114</definedName>
    <definedName name="R_35">[1]PARAMETROS!$T$118</definedName>
    <definedName name="R_36">[1]PARAMETROS!$T$122</definedName>
    <definedName name="R_37">[1]PARAMETROS!$T$126</definedName>
    <definedName name="R_38">[1]PARAMETROS!$T$130</definedName>
    <definedName name="R_39">[1]PARAMETROS!$T$134</definedName>
    <definedName name="R_40">[1]PARAMETROS!$T$138</definedName>
    <definedName name="R_41">[1]PARAMETROS!$T$142</definedName>
    <definedName name="R_42">[1]PARAMETROS!$T$151</definedName>
    <definedName name="R_43">[1]PARAMETROS!$T$155</definedName>
    <definedName name="R_44">[1]PARAMETROS!$T$159</definedName>
    <definedName name="R_45">[1]PARAMETROS!$T$163</definedName>
    <definedName name="R_46">[1]PARAMETROS!$T$167</definedName>
    <definedName name="R_47">[1]PARAMETROS!$T$171</definedName>
    <definedName name="R_48">[1]PARAMETROS!$T$175</definedName>
    <definedName name="R_49">[1]PARAMETROS!$T$179</definedName>
    <definedName name="R_50">[1]PARAMETROS!$T$183</definedName>
    <definedName name="R_51">[1]PARAMETROS!$T$187</definedName>
    <definedName name="R_52">[1]PARAMETROS!$T$191</definedName>
    <definedName name="R_53">[1]PARAMETROS!$T$195</definedName>
    <definedName name="R_54">[1]PARAMETROS!$T$199</definedName>
    <definedName name="R_55">[1]PARAMETROS!$T$203</definedName>
    <definedName name="R_56">[1]PARAMETROS!$T$207</definedName>
    <definedName name="R_57">[1]PARAMETROS!$T$215</definedName>
    <definedName name="R_58">[1]PARAMETROS!$T$219</definedName>
    <definedName name="R_59">[1]PARAMETROS!$T$223</definedName>
    <definedName name="R_60">[1]PARAMETROS!$T$227</definedName>
    <definedName name="R_61">[1]PARAMETROS!$T$231</definedName>
    <definedName name="R_62">[1]PARAMETROS!$T$235</definedName>
    <definedName name="R_63">[1]PARAMETROS!$T$239</definedName>
    <definedName name="R_64">[1]PARAMETROS!$T$243</definedName>
    <definedName name="R_65">[1]PARAMETROS!$T$247</definedName>
    <definedName name="R_66">[1]PARAMETROS!$T$251</definedName>
    <definedName name="R_67">[1]PARAMETROS!$T$255</definedName>
    <definedName name="R_68">[1]PARAMETROS!$T$259</definedName>
    <definedName name="R_69">[1]PARAMETROS!$T$267</definedName>
    <definedName name="R_70">[1]PARAMETROS!$T$271</definedName>
    <definedName name="R_71">[1]PARAMETROS!$T$275</definedName>
    <definedName name="R_72">[1]PARAMETROS!$T$279</definedName>
    <definedName name="R_73">[1]PARAMETROS!$T$283</definedName>
    <definedName name="R_74">[1]PARAMETROS!$T$287</definedName>
    <definedName name="R_75">[1]PARAMETROS!$T$291</definedName>
    <definedName name="R_76">[1]PARAMETROS!$T$292</definedName>
    <definedName name="R_77">[1]PARAMETROS!$T$301</definedName>
    <definedName name="R_78">[1]PARAMETROS!$T$305</definedName>
    <definedName name="R_79">[1]PARAMETROS!$T$309</definedName>
    <definedName name="R_80">[1]PARAMETROS!$T1</definedName>
    <definedName name="R_81">[1]PARAMETROS!$T$314</definedName>
    <definedName name="R_82">[1]PARAMETROS!$T$315</definedName>
    <definedName name="R_83">[1]PARAMETROS!$T$319</definedName>
    <definedName name="R_84">[1]PARAMETROS!$T$320</definedName>
    <definedName name="R_980">[1]PARAMETROS!$T$322</definedName>
    <definedName name="R_social">[1]PARAMETROS!$E$31</definedName>
    <definedName name="s_apellido">[1]PARAMETROS!$I$27</definedName>
    <definedName name="salvedades">[1]PARAMETROS!$K$71</definedName>
    <definedName name="seleccion" comment="seleccion de periodo de pago">#REF!</definedName>
    <definedName name="tope1">'[3]Art. 383'!$B$52</definedName>
    <definedName name="Tope2">'[3]Art. 383'!$B$53</definedName>
    <definedName name="Tope3">'[3]Art. 383'!$B$54</definedName>
    <definedName name="Tope4">'[3]Art. 383'!$B$55</definedName>
    <definedName name="Tope5">'[3]Art. 383'!$B$56</definedName>
    <definedName name="Tope6">'[3]Art. 383'!$B$57</definedName>
    <definedName name="TProf">[1]PARAMETROS!$E$74</definedName>
    <definedName name="Vecesdeclarado">'[2]Anticipos de Impuesto'!$B$1:$B$3</definedName>
    <definedName name="xBase">'[3]Art. 383'!$M$7</definedName>
    <definedName name="xGravadoenUvt">'[3]Art. 383'!$E$46</definedName>
    <definedName name="xUvt">'[3]Art. 383'!$F$6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G26" i="1"/>
  <c r="K8" i="64"/>
  <c r="G20" i="1"/>
  <c r="F20" i="1"/>
  <c r="L8" i="64"/>
  <c r="L4" i="64"/>
  <c r="I28" i="74"/>
  <c r="I29" i="74"/>
  <c r="I27" i="74"/>
  <c r="G28" i="106"/>
  <c r="N13" i="1"/>
  <c r="N12" i="1"/>
  <c r="F21" i="106"/>
  <c r="F17" i="106"/>
  <c r="H28" i="106"/>
  <c r="N14" i="1"/>
  <c r="I349" i="107"/>
  <c r="H349" i="107"/>
  <c r="L17" i="1" l="1"/>
  <c r="M17" i="1" s="1"/>
  <c r="O13" i="1"/>
  <c r="L18" i="1"/>
  <c r="M18" i="1" s="1"/>
  <c r="O12" i="1"/>
  <c r="J349" i="107"/>
  <c r="O14" i="1" l="1"/>
  <c r="M21" i="1"/>
  <c r="D20" i="1" s="1"/>
  <c r="H20" i="1" s="1"/>
  <c r="H26" i="1" s="1"/>
  <c r="E20" i="1"/>
  <c r="E26" i="1" s="1"/>
  <c r="D26" i="1"/>
  <c r="D28" i="1" s="1"/>
  <c r="H28" i="1" s="1"/>
  <c r="E34" i="106"/>
  <c r="H31" i="106"/>
  <c r="G26" i="106"/>
  <c r="E26" i="106"/>
  <c r="D26" i="106"/>
  <c r="G25" i="106"/>
  <c r="D25" i="106" s="1"/>
  <c r="E25" i="106"/>
  <c r="G24" i="106"/>
  <c r="E24" i="106"/>
  <c r="D24" i="106"/>
  <c r="G23" i="106"/>
  <c r="E23" i="106"/>
  <c r="D23" i="106"/>
  <c r="G22" i="106"/>
  <c r="E22" i="106"/>
  <c r="D22" i="106"/>
  <c r="G21" i="106"/>
  <c r="E21" i="106"/>
  <c r="D21" i="106"/>
  <c r="G20" i="106"/>
  <c r="D20" i="106" s="1"/>
  <c r="E20" i="106"/>
  <c r="G19" i="106"/>
  <c r="E19" i="106"/>
  <c r="D19" i="106"/>
  <c r="G18" i="106"/>
  <c r="E18" i="106"/>
  <c r="D18" i="106"/>
  <c r="G17" i="106"/>
  <c r="E17" i="106"/>
  <c r="D17" i="106"/>
  <c r="G16" i="106"/>
  <c r="E16" i="106"/>
  <c r="D16" i="106"/>
  <c r="G15" i="106"/>
  <c r="E15" i="106"/>
  <c r="D15" i="106"/>
  <c r="G14" i="106"/>
  <c r="E14" i="106"/>
  <c r="D14" i="106"/>
  <c r="G13" i="106"/>
  <c r="E13" i="106"/>
  <c r="D13" i="106"/>
  <c r="G12" i="106"/>
  <c r="E12" i="106"/>
  <c r="D12" i="106"/>
  <c r="G11" i="106"/>
  <c r="E11" i="106"/>
  <c r="D11" i="106"/>
  <c r="G10" i="106"/>
  <c r="E10" i="106"/>
  <c r="E28" i="106" s="1"/>
  <c r="E37" i="106" s="1"/>
  <c r="E39" i="106" s="1"/>
  <c r="D10" i="106"/>
  <c r="H10" i="105"/>
  <c r="G10" i="105"/>
  <c r="I19" i="104"/>
  <c r="D28" i="106" l="1"/>
  <c r="E31" i="106" s="1"/>
  <c r="E32" i="106" l="1"/>
  <c r="E33" i="106" s="1"/>
  <c r="E35" i="106" s="1"/>
  <c r="K21" i="1" l="1"/>
  <c r="I20" i="1" l="1"/>
  <c r="I26" i="1" s="1"/>
  <c r="K28" i="74" l="1"/>
  <c r="K27" i="74"/>
  <c r="G28" i="1" l="1"/>
  <c r="K29" i="74"/>
  <c r="E28" i="1" l="1"/>
  <c r="I28" i="1" s="1"/>
</calcChain>
</file>

<file path=xl/sharedStrings.xml><?xml version="1.0" encoding="utf-8"?>
<sst xmlns="http://schemas.openxmlformats.org/spreadsheetml/2006/main" count="1382" uniqueCount="535">
  <si>
    <t>Entidad</t>
  </si>
  <si>
    <t>Papel de Trabajo</t>
  </si>
  <si>
    <t>Periodo</t>
  </si>
  <si>
    <t>CONCEPTO</t>
  </si>
  <si>
    <t>AUDITORIA</t>
  </si>
  <si>
    <t>DECLARACION</t>
  </si>
  <si>
    <t>DIFERENCIA</t>
  </si>
  <si>
    <t>RENG</t>
  </si>
  <si>
    <t>VALOR A PAGAR</t>
  </si>
  <si>
    <t>Municipio</t>
  </si>
  <si>
    <t>Revisión Industria y Comercio</t>
  </si>
  <si>
    <t>Elaborado por:</t>
  </si>
  <si>
    <t>Revisado por:</t>
  </si>
  <si>
    <t>Fecha</t>
  </si>
  <si>
    <t>Tercero</t>
  </si>
  <si>
    <t>Saldo</t>
  </si>
  <si>
    <t>Concepto</t>
  </si>
  <si>
    <t>Cuenta</t>
  </si>
  <si>
    <t>TOTAL SALDO A CARGO</t>
  </si>
  <si>
    <t>TOTAL A PAGAR</t>
  </si>
  <si>
    <t>Acto oficial</t>
  </si>
  <si>
    <t>pagos</t>
  </si>
  <si>
    <t>Cuenta Descripción</t>
  </si>
  <si>
    <t>Retención</t>
  </si>
  <si>
    <t>% de retención</t>
  </si>
  <si>
    <t>Base de retención</t>
  </si>
  <si>
    <t>AUTORRETENEDOR</t>
  </si>
  <si>
    <t xml:space="preserve">BASE </t>
  </si>
  <si>
    <t>VALOR</t>
  </si>
  <si>
    <t>AUTORRETENCION POR FABRICACION (INDUSTRIAL)</t>
  </si>
  <si>
    <t>AUTORRETENCION POR COMERCIALIZACION</t>
  </si>
  <si>
    <t>AUTORRETENCION POR SERVICIO</t>
  </si>
  <si>
    <t>AUTORRETENCION POR SERVICIOS FINANCIEROS Y BANCARIOS</t>
  </si>
  <si>
    <t>SUBTOTAL AUTORRETENCIONES (SUME RENGLONES 01+02+03+04)</t>
  </si>
  <si>
    <t>IMPUESTOS AVISOS Y TABLEROS (15% RENGLÓN 5)</t>
  </si>
  <si>
    <t>SOBRETASA BOMBERIL (3% RENGLON 5)</t>
  </si>
  <si>
    <t>BASE</t>
  </si>
  <si>
    <t>RETENCION POR COMPRA DE BIENES</t>
  </si>
  <si>
    <t>RETENCION POR SERVICIOS</t>
  </si>
  <si>
    <t>RETENCION POR TARJETA DEBITO Y CREDITO</t>
  </si>
  <si>
    <t>SUBTOTAL RETENCIONES PRACTICADAS</t>
  </si>
  <si>
    <t>TOTAL AUTORRETENCIONES Y RETENCIONES PRACTICADAS</t>
  </si>
  <si>
    <t>SANCIONES</t>
  </si>
  <si>
    <t>INTERESES DE MORA</t>
  </si>
  <si>
    <t>Total</t>
  </si>
  <si>
    <t>DSAB S.A.S</t>
  </si>
  <si>
    <t>NOMBRE DEL CLIENTE:</t>
  </si>
  <si>
    <t>NIT:</t>
  </si>
  <si>
    <t>TIPO DE TRABAJO:</t>
  </si>
  <si>
    <t>FECHA DE VENCIMIENTO:</t>
  </si>
  <si>
    <t>NOMBRE DEL PAPEL DE TRABAJO:</t>
  </si>
  <si>
    <t>PERIODO DE REVISIÓN:</t>
  </si>
  <si>
    <t>NORMATIVIDAD APLICABLE:</t>
  </si>
  <si>
    <t>CIFRAS EXPRESADAS EN:</t>
  </si>
  <si>
    <t>Pesos colombianos</t>
  </si>
  <si>
    <t>ELABORADO POR:</t>
  </si>
  <si>
    <t>FECHA:</t>
  </si>
  <si>
    <t>REVISADO POR:</t>
  </si>
  <si>
    <t>Información que se debe solicitar al cliente para preparar el Impuesto</t>
  </si>
  <si>
    <t>Balance de prueba periodo a revisar</t>
  </si>
  <si>
    <t>a</t>
  </si>
  <si>
    <t>Borrador de la declaración de ICA</t>
  </si>
  <si>
    <t>Certificados de retención de ICA que les practicaron</t>
  </si>
  <si>
    <t>Clasificar los bienes o servicios que la compañía vende en actividades sujetas, no sujetas, dentro y fuera del distrito, y si estos cumplen con la normatividad</t>
  </si>
  <si>
    <t>Libro auxiliar 2368</t>
  </si>
  <si>
    <t>Libro auxiliar 135518</t>
  </si>
  <si>
    <t>Libro auxiliar de ingresos</t>
  </si>
  <si>
    <t>N/A</t>
  </si>
  <si>
    <t>Revisión Retencion de Industria y Comercio Barrancabermeja</t>
  </si>
  <si>
    <t>REVISADO POR DIRECTOR:</t>
  </si>
  <si>
    <t>OBJETIVO:</t>
  </si>
  <si>
    <t>Verificar la razonabilidad de los porcentajes de declaración de industria y comercio.</t>
  </si>
  <si>
    <t>PROCEDIMIENTO:</t>
  </si>
  <si>
    <t>1. Solicitar  3 facturas de proveedores con mayor cuantía durante el periodo a revisar</t>
  </si>
  <si>
    <t>2. Validar que las retención practicada sea correcta.</t>
  </si>
  <si>
    <t>3. Documentar y concluir.</t>
  </si>
  <si>
    <t>DESARROLLO DE PROCEDIMIENTO:</t>
  </si>
  <si>
    <t>Comprobante</t>
  </si>
  <si>
    <t>Factura</t>
  </si>
  <si>
    <t>Proveedor</t>
  </si>
  <si>
    <t>Base</t>
  </si>
  <si>
    <t>Cálculo de auditor</t>
  </si>
  <si>
    <t>Vr. Contable</t>
  </si>
  <si>
    <t>Diferencia</t>
  </si>
  <si>
    <t>Conclusión</t>
  </si>
  <si>
    <t xml:space="preserve">De acuerdo a los procedimientos de recalculo de retenciones realizados por el auditor, no se presentan diferencias en las facturas.
</t>
  </si>
  <si>
    <t>x</t>
  </si>
  <si>
    <t>Pago mes de anterior</t>
  </si>
  <si>
    <t>Robinson Romero Manosalva</t>
  </si>
  <si>
    <r>
      <t xml:space="preserve">Conclusión: </t>
    </r>
    <r>
      <rPr>
        <sz val="10"/>
        <color theme="1"/>
        <rFont val="Arial"/>
        <family val="2"/>
      </rPr>
      <t xml:space="preserve"> De acuerdo con los procedimientos ejecutados a la fecha, evidenciamos que los valores reportados por retenciones de industria y comerio correspondientes al periodo en revision  son integros y corresponden a las operaciones económicas ejecutadas durante el periodo de revisión.</t>
    </r>
  </si>
  <si>
    <t>Credito</t>
  </si>
  <si>
    <t>Debito</t>
  </si>
  <si>
    <t>TOTAL</t>
  </si>
  <si>
    <t>Carolina Hernández Rodríguez</t>
  </si>
  <si>
    <t xml:space="preserve"> Cta.mayor               *</t>
  </si>
  <si>
    <t xml:space="preserve"> Sociedad                DA09</t>
  </si>
  <si>
    <t xml:space="preserve"> Ledger                  OL</t>
  </si>
  <si>
    <t>Texto breve</t>
  </si>
  <si>
    <t>Asignación</t>
  </si>
  <si>
    <t>Fecha doc.</t>
  </si>
  <si>
    <t>Fe.contab.</t>
  </si>
  <si>
    <t>Referencia</t>
  </si>
  <si>
    <t xml:space="preserve">       Importe en ML</t>
  </si>
  <si>
    <t>Período</t>
  </si>
  <si>
    <t>Cla</t>
  </si>
  <si>
    <t>Nº doc.</t>
  </si>
  <si>
    <t>Texto</t>
  </si>
  <si>
    <t>Importe valorado ML2</t>
  </si>
  <si>
    <t>Soc.</t>
  </si>
  <si>
    <t>Impuest ICA Reten 7%</t>
  </si>
  <si>
    <t>JACH DESIGNS S.A.S.</t>
  </si>
  <si>
    <t>01.07.2026</t>
  </si>
  <si>
    <t>FE10</t>
  </si>
  <si>
    <t>RE</t>
  </si>
  <si>
    <t>REPARACION MALLA PERIMETRAL MIRADOR</t>
  </si>
  <si>
    <t>DA09</t>
  </si>
  <si>
    <t>DARIO HERRERA G INVESTIGACIONE</t>
  </si>
  <si>
    <t>10.07.2026</t>
  </si>
  <si>
    <t>21.07.2026</t>
  </si>
  <si>
    <t>FE3177</t>
  </si>
  <si>
    <t>ESTUDIO DE VISITA DOMICILIARIA</t>
  </si>
  <si>
    <t>Impuest ICA Rete 10%</t>
  </si>
  <si>
    <t>CDEM &amp; CDEB S.A.S.</t>
  </si>
  <si>
    <t>16.07.2026</t>
  </si>
  <si>
    <t>30.07.2026</t>
  </si>
  <si>
    <t>FE338057</t>
  </si>
  <si>
    <t>COMPRA DE ESCUALIZADOR SURTIDOR GASOLI 1"</t>
  </si>
  <si>
    <t>EQUIS Y ZETA ESTRATEGIAS LTDA</t>
  </si>
  <si>
    <t>06.07.2026</t>
  </si>
  <si>
    <t>FEV21379</t>
  </si>
  <si>
    <t>FORTALECIMIENTO MARCA ELOGIA</t>
  </si>
  <si>
    <t>09.07.2026</t>
  </si>
  <si>
    <t>FE338043</t>
  </si>
  <si>
    <t>REPARACION MANGUERA DE 6"</t>
  </si>
  <si>
    <t>SUPER PORTUARIA S.A.S</t>
  </si>
  <si>
    <t>27.07.2026</t>
  </si>
  <si>
    <t>31.07.2026</t>
  </si>
  <si>
    <t>SERVICIOS DE OPERACION PORTUARIA</t>
  </si>
  <si>
    <t>RETENCIÓN IVA COLOMBIA: TOTAL</t>
  </si>
  <si>
    <t xml:space="preserve"> De 01.07.2026 A 31.07.2026</t>
  </si>
  <si>
    <t>Acreedor</t>
  </si>
  <si>
    <t>Tp.rete</t>
  </si>
  <si>
    <t>Ret</t>
  </si>
  <si>
    <t xml:space="preserve">   Importe en MD</t>
  </si>
  <si>
    <t xml:space="preserve">      Impte.neto 2 MI</t>
  </si>
  <si>
    <t xml:space="preserve"> Impte.base Qst en MI</t>
  </si>
  <si>
    <t xml:space="preserve">    Importe qst en MI</t>
  </si>
  <si>
    <t xml:space="preserve">     Impte.sin Qst MI</t>
  </si>
  <si>
    <t>IS</t>
  </si>
  <si>
    <t>TERLICA S.A.S.</t>
  </si>
  <si>
    <t xml:space="preserve">DECLARACION RETE ICA </t>
  </si>
  <si>
    <t>AÑO</t>
  </si>
  <si>
    <t>PERIODO</t>
  </si>
  <si>
    <t>ACTIVIDAD</t>
  </si>
  <si>
    <t>RENGLON</t>
  </si>
  <si>
    <t>TARIFA %</t>
  </si>
  <si>
    <t>IMPTO RTE ICA</t>
  </si>
  <si>
    <t>B1</t>
  </si>
  <si>
    <t>B2</t>
  </si>
  <si>
    <t>Compra de detergentes</t>
  </si>
  <si>
    <t>Comercio al por menor en establecimientos no especializados, con surtido compuesto principalmente por productos diferentes de alimentos (víveres en general), bebidas y tabaco.</t>
  </si>
  <si>
    <t>Construcción de edificios  residenciales y no residencias a cambio de una retribucion o por contrata</t>
  </si>
  <si>
    <t>B3</t>
  </si>
  <si>
    <t>Servicio comedor</t>
  </si>
  <si>
    <t>Compras de materiales</t>
  </si>
  <si>
    <t>Comercio al por menor de artículos de ferretería, pinturas y productos de vidrio en establecimientos especializados.</t>
  </si>
  <si>
    <t>B4</t>
  </si>
  <si>
    <t xml:space="preserve">Confeccion de prenda de vestir , expecto prendas de piel </t>
  </si>
  <si>
    <t>B5</t>
  </si>
  <si>
    <t>Estudio de seguridad</t>
  </si>
  <si>
    <t>B7</t>
  </si>
  <si>
    <t>Otras actividades profesionales científicas y técnicas n.c.p</t>
  </si>
  <si>
    <t>Curso de control operativo</t>
  </si>
  <si>
    <t>B6</t>
  </si>
  <si>
    <t>Comercio al por mayor de otros productos n.c.p.</t>
  </si>
  <si>
    <t>Servicio de operación portuaria</t>
  </si>
  <si>
    <t>Alquiler y arrendamiento de otros tipos de maquinaria, equipo y bienes tangibles</t>
  </si>
  <si>
    <t>Comercio al por menor de otros productos nuevos en establecimientos especializados.-compra y mtto de manguera</t>
  </si>
  <si>
    <t>Servicio de transporte</t>
  </si>
  <si>
    <t>Otras actividades de Servicios</t>
  </si>
  <si>
    <t>Mtt mueble</t>
  </si>
  <si>
    <t>B8</t>
  </si>
  <si>
    <t>OTRAS</t>
  </si>
  <si>
    <t xml:space="preserve">TOTAL PAGO O ABONO </t>
  </si>
  <si>
    <t xml:space="preserve"> (-) PAG O AB EN CUENTA NO SUJ A RT ICA</t>
  </si>
  <si>
    <t>TOTAL PAGO O ABONO  SUJ A RTE IVA</t>
  </si>
  <si>
    <t>(-) PAGO O AB SUJ RTE ICA FUERA</t>
  </si>
  <si>
    <t>TOTAL PAGO O ABONO EN CUENTA</t>
  </si>
  <si>
    <t>R 25</t>
  </si>
  <si>
    <t>(-)RETENCIONES PRACTICADAS EN EXCESO O INDEBIDAS O POR OPERACIONES ANULADAS, RESCINDIDAS O RESUELTAS</t>
  </si>
  <si>
    <t>VALOR RETENCIONES</t>
  </si>
  <si>
    <t>TOTAL SALDO A PAGAR</t>
  </si>
  <si>
    <t>GIRAR A NOMBRE DE ALCALDIA DE SANTA MARTA</t>
  </si>
  <si>
    <t>Terlica S.A.S.                                                      Saldos de cuentas de mayor                                             Hora 12:13:04     Fecha 11.08.2026</t>
  </si>
  <si>
    <t>Santa Marta - Colombia  Ledger OL                                                                                                          RFSSLD00/AMANOTAS Página         1</t>
  </si>
  <si>
    <t>Períodos de arrastre 01-06 2026 Períodos informe 07-07 2026</t>
  </si>
  <si>
    <t>Cta.mayor</t>
  </si>
  <si>
    <t>Mon.</t>
  </si>
  <si>
    <t xml:space="preserve">     Arrastre de saldos</t>
  </si>
  <si>
    <t xml:space="preserve">   Saldo per.anteriores</t>
  </si>
  <si>
    <t>Período de informe debe</t>
  </si>
  <si>
    <t xml:space="preserve">   Saldo Haber per.inf.</t>
  </si>
  <si>
    <t xml:space="preserve">        Saldo acumulado</t>
  </si>
  <si>
    <t>Cja  Puerto</t>
  </si>
  <si>
    <t>COP</t>
  </si>
  <si>
    <t>Caja Menor Mtto Liz</t>
  </si>
  <si>
    <t>Bogot-081230 - extra</t>
  </si>
  <si>
    <t>Bogot-081230 -Cheque</t>
  </si>
  <si>
    <t>Bogot-081230 - consi</t>
  </si>
  <si>
    <t>Bogot-081230 - n/deb</t>
  </si>
  <si>
    <t>Bogot-081230 -transf</t>
  </si>
  <si>
    <t>Bogot-Rotativo-extra</t>
  </si>
  <si>
    <t>Bogot-Rotativo-consi</t>
  </si>
  <si>
    <t>Bogot-Rotativo-N/deb</t>
  </si>
  <si>
    <t>Bogot-Rotativo-n/cre</t>
  </si>
  <si>
    <t>Bogot-Rotativo- Tran</t>
  </si>
  <si>
    <t>Helm Bank 8237-extra</t>
  </si>
  <si>
    <t>Helm Bank 8237-n/deb</t>
  </si>
  <si>
    <t>BBVA 884 - extra</t>
  </si>
  <si>
    <t>BBVA 00884 - Cons</t>
  </si>
  <si>
    <t>BBVA 000884 - Trans</t>
  </si>
  <si>
    <t>Acc/SP Reg Sta Marta</t>
  </si>
  <si>
    <t>Acc/SP Las Americas</t>
  </si>
  <si>
    <t>Acc/M.P SPLA</t>
  </si>
  <si>
    <t>Derechos Fiduciaros</t>
  </si>
  <si>
    <t>Cartera Colectiva</t>
  </si>
  <si>
    <t>Deud.,client. nacion</t>
  </si>
  <si>
    <t>Deud.client.nacionGD</t>
  </si>
  <si>
    <t>Deud.,client. Exteri</t>
  </si>
  <si>
    <t>Deud,Ctas.corr. Cias</t>
  </si>
  <si>
    <t>Deud,Ctas.cobr.socio</t>
  </si>
  <si>
    <t>Antic./avan. a prov.</t>
  </si>
  <si>
    <t>Antic./avan. Trab. S</t>
  </si>
  <si>
    <t>Antic./avan. a trab.</t>
  </si>
  <si>
    <t>Antic/Ret/honorarios</t>
  </si>
  <si>
    <t>Antic/Ret/servic/1%</t>
  </si>
  <si>
    <t>Antic/Ret/servic/4%</t>
  </si>
  <si>
    <t>Antic/Ret/Prod/Agrop</t>
  </si>
  <si>
    <t>Antic/Otr/Ingres 3.5</t>
  </si>
  <si>
    <t>Antic/Ret/Int Fin 7%</t>
  </si>
  <si>
    <t>Antic/Ret/Dividendos</t>
  </si>
  <si>
    <t>Antic/Otr/Ingres 2.5</t>
  </si>
  <si>
    <t>Antic/Otr/Ingres 1.5</t>
  </si>
  <si>
    <t>Antic/Ret/servic/2%</t>
  </si>
  <si>
    <t>Antic/Ret/Int Fin 4%</t>
  </si>
  <si>
    <t>Antic/Ret/Autorreten</t>
  </si>
  <si>
    <t>Antic/Otr/Cierre año</t>
  </si>
  <si>
    <t>Antic/Ret/Cree 0.8%</t>
  </si>
  <si>
    <t>Antic/Ret/Cree Auto</t>
  </si>
  <si>
    <t>Antic/Impto/IVA/ret</t>
  </si>
  <si>
    <t>Antic/Impto/ICA/ret</t>
  </si>
  <si>
    <t>Antic/sald/favor/Rta</t>
  </si>
  <si>
    <t>Ctas.cobr.trab.,otro</t>
  </si>
  <si>
    <t>Deud. varios, otros</t>
  </si>
  <si>
    <t>Deud.,Varios, otros</t>
  </si>
  <si>
    <t>Inv/Mcias/Insumos</t>
  </si>
  <si>
    <t>Inv/Mcía/Mercaderias</t>
  </si>
  <si>
    <t>Inv/Mcía/insmercader</t>
  </si>
  <si>
    <t>Inv/Mater/rep./acces</t>
  </si>
  <si>
    <t>Inv/Enva/empaques</t>
  </si>
  <si>
    <t>Prop/pl/eq/ter/urban</t>
  </si>
  <si>
    <t>Prop/pl/eq/ter/rural</t>
  </si>
  <si>
    <t>Maqu./equip montaje</t>
  </si>
  <si>
    <t>Prop/pl/eq/Construci</t>
  </si>
  <si>
    <t>Prop/pl/eq/Maq Produ</t>
  </si>
  <si>
    <t>Prop/pl/eq/Equi ofic</t>
  </si>
  <si>
    <t>Prop/pl/eq/Equi comp</t>
  </si>
  <si>
    <t>Prop/pl/eq/Equ.médic</t>
  </si>
  <si>
    <t>Prop/pl/eq/Flot/tran</t>
  </si>
  <si>
    <t>Prop/pl/eq/equ.fluv.</t>
  </si>
  <si>
    <t>Prop/pl/eq/Armamento</t>
  </si>
  <si>
    <t>Depr.acum,constr./ed</t>
  </si>
  <si>
    <t>Depr.acum,maqu./equ.</t>
  </si>
  <si>
    <t>Depr.acum,equ.d.ofic</t>
  </si>
  <si>
    <t>Depr.acum,comp/com.</t>
  </si>
  <si>
    <t>Depr.acum,méd.-cient</t>
  </si>
  <si>
    <t>Depr.acum,fl/equ.tra</t>
  </si>
  <si>
    <t>Depr.acum,fl/equ.fl/</t>
  </si>
  <si>
    <t>Depr.acum,arm.d.vigi</t>
  </si>
  <si>
    <t>Dif.,anticip,seg. AF</t>
  </si>
  <si>
    <t>Dif. Gtos ,Amortiz</t>
  </si>
  <si>
    <t>Carg.dif,estud,inves</t>
  </si>
  <si>
    <t>Carg.dif,progr.(soft</t>
  </si>
  <si>
    <t>Carg.dif.,impto.de r</t>
  </si>
  <si>
    <t>Carg.dif.,Amortiz</t>
  </si>
  <si>
    <t>Carg.dif.,ajust Infl</t>
  </si>
  <si>
    <t>Otro act.en Consorci</t>
  </si>
  <si>
    <t>Valoriz. inv., accio</t>
  </si>
  <si>
    <t>Valoriz.inv,cuotas/p</t>
  </si>
  <si>
    <t>Valoriz.planta,equ,m</t>
  </si>
  <si>
    <t>Obl.fin,bannac,pagar</t>
  </si>
  <si>
    <t>Obl.fin,Credit rota</t>
  </si>
  <si>
    <t>Obl.fin,bac,pagar LP</t>
  </si>
  <si>
    <t>Obl.fin,bannac,Cober</t>
  </si>
  <si>
    <t>Proveedores nacional</t>
  </si>
  <si>
    <t>Ctas.por pagar,corr.</t>
  </si>
  <si>
    <t>Ctas.p.pag,Honorario</t>
  </si>
  <si>
    <t>Ctas.p.pag,Transport</t>
  </si>
  <si>
    <t>Ctas.p.pag,Serv públ</t>
  </si>
  <si>
    <t>Ctas.p.pag, otros</t>
  </si>
  <si>
    <t>Ret.fuente,salar/pag</t>
  </si>
  <si>
    <t>Ret.fuente, honorari</t>
  </si>
  <si>
    <t>Ret.fuente, comision</t>
  </si>
  <si>
    <t>Ret.fte,serv,general</t>
  </si>
  <si>
    <t>Ret.fte,transp/carga</t>
  </si>
  <si>
    <t>Ret.fte,serv,rest/ho</t>
  </si>
  <si>
    <t>Ret.fte,serv,const</t>
  </si>
  <si>
    <t>Ret.fte,transp/pers</t>
  </si>
  <si>
    <t>Ret.fte,serv,const 2</t>
  </si>
  <si>
    <t>Ret.fte,serv,uso/sof</t>
  </si>
  <si>
    <t>Ret.fte,serv Integ 2</t>
  </si>
  <si>
    <t>Ret.fte,arre/inmuebl</t>
  </si>
  <si>
    <t>Ret.fte,arre/mueble</t>
  </si>
  <si>
    <t>Ret.fte,arrend 2.5%</t>
  </si>
  <si>
    <t>Ret.fte,arrend 1.5%</t>
  </si>
  <si>
    <t>Ret.fuente,rendim.fi</t>
  </si>
  <si>
    <t>Ret.fuent,rendim 15%</t>
  </si>
  <si>
    <t>Ret.fte,compr/gral</t>
  </si>
  <si>
    <t>Ret.fte,comp/comb</t>
  </si>
  <si>
    <t>Ret.fte,comp/agrop</t>
  </si>
  <si>
    <t>Ret.fte,comp/vehic</t>
  </si>
  <si>
    <t>Ret.fte,compr 1.5</t>
  </si>
  <si>
    <t>Ret.fte,compr 2.5</t>
  </si>
  <si>
    <t>Ret.fuente,pagos d.e</t>
  </si>
  <si>
    <t>Ret.fte Art 383 Inde</t>
  </si>
  <si>
    <t>Ret.fuente por pagar</t>
  </si>
  <si>
    <t>Ret.fuente,CREE 0.3%</t>
  </si>
  <si>
    <t>Ret.fuente,CREE 0.8%</t>
  </si>
  <si>
    <t>Ret.fuente,CREE 1.5%</t>
  </si>
  <si>
    <t>Ret.Fte CREpor pagar</t>
  </si>
  <si>
    <t>Impto/.vtas/ret/comp</t>
  </si>
  <si>
    <t>Impto/.vtas/ret/serv</t>
  </si>
  <si>
    <t>Impto/.vtas/ret/Resi</t>
  </si>
  <si>
    <t>Rete/iva/teoric/comp</t>
  </si>
  <si>
    <t>Rete/iva/teoric/serv</t>
  </si>
  <si>
    <t>Ret.  IVA  por pagar</t>
  </si>
  <si>
    <t>Impuest ICA Reten 2%</t>
  </si>
  <si>
    <t>Impuest ICA Reten 5%</t>
  </si>
  <si>
    <t>Impuest ICA Reten 8%</t>
  </si>
  <si>
    <t>Ret. Ffe ICA a pagar</t>
  </si>
  <si>
    <t>Ctas.p.pag,Aport EPS</t>
  </si>
  <si>
    <t>Ctas.p.pag,Aport ARP</t>
  </si>
  <si>
    <t>Ctas.p.pag,Apor ICBF</t>
  </si>
  <si>
    <t>Ctas.p.pag, Embargos</t>
  </si>
  <si>
    <t>Ctas.p.pag,Aport/FEG</t>
  </si>
  <si>
    <t>Acreed.var.,fond.ces</t>
  </si>
  <si>
    <t>IVA/gener/bien/5%</t>
  </si>
  <si>
    <t>IVA Generado 16%</t>
  </si>
  <si>
    <t>IVA/ General /19%</t>
  </si>
  <si>
    <t>IVA/desct/bien/ 100%</t>
  </si>
  <si>
    <t>IVA/descontab 100%</t>
  </si>
  <si>
    <t>IVA/DESCT IMPORT100%</t>
  </si>
  <si>
    <t>IVA/DESCT serv No Re</t>
  </si>
  <si>
    <t>IVA/desct/bien/ Simp</t>
  </si>
  <si>
    <t>IVA/desct/serv/Simp</t>
  </si>
  <si>
    <t>Pasiv.Iva por pagar</t>
  </si>
  <si>
    <t>Impto.ind/com,vigfis</t>
  </si>
  <si>
    <t>Obl.lab,salarios p.p</t>
  </si>
  <si>
    <t>Obl.lab,ces.cons.50/</t>
  </si>
  <si>
    <t>Obl.lab.,int.sobre c</t>
  </si>
  <si>
    <t>Obl.lab.,primas de s</t>
  </si>
  <si>
    <t>Obl.lab.,vacaciones</t>
  </si>
  <si>
    <t>Pasiv.est,c.g, inter</t>
  </si>
  <si>
    <t>Pasiv.est,c.g, serv.</t>
  </si>
  <si>
    <t>Pasiv.estim EM/RF</t>
  </si>
  <si>
    <t>Pasiv.est Importacio</t>
  </si>
  <si>
    <t>Pasiv.est,renta y co</t>
  </si>
  <si>
    <t>Pasiv.est,ICA</t>
  </si>
  <si>
    <t>Pasiv.Difer. impuest</t>
  </si>
  <si>
    <t>Antic./avan.recib.cl</t>
  </si>
  <si>
    <t>Otro psv.en Consorci</t>
  </si>
  <si>
    <t>Patrim,cap.soc.,auto</t>
  </si>
  <si>
    <t>Patrim,cap.soc,p/s(D</t>
  </si>
  <si>
    <t>Superávit,pr.coloc.a</t>
  </si>
  <si>
    <t>Res.oblig, reserva l</t>
  </si>
  <si>
    <t>Res.ejerc.,utilidad</t>
  </si>
  <si>
    <t>OTROS RESULTADOS INT</t>
  </si>
  <si>
    <t>ORI GASTOS COBERTURA</t>
  </si>
  <si>
    <t>Superá.valoriz,acc.</t>
  </si>
  <si>
    <t>Superá.valoriz,cuota</t>
  </si>
  <si>
    <t>Superá.valoriz,maqui</t>
  </si>
  <si>
    <t>Ingr.op,manipul. car</t>
  </si>
  <si>
    <t>Ingr.op,almaciento</t>
  </si>
  <si>
    <t>N.op,otr.vent,mat.de</t>
  </si>
  <si>
    <t>N.op.,otr.fin,intere</t>
  </si>
  <si>
    <t>N.op.,otr.fin,dif.ca</t>
  </si>
  <si>
    <t>N.op.,otr.fin,Cobert</t>
  </si>
  <si>
    <t>N.op.,incapacidad</t>
  </si>
  <si>
    <t>N.op.,div.,aprovecha</t>
  </si>
  <si>
    <t>Gast.op.adm,pr,sueld</t>
  </si>
  <si>
    <t>Gast.op.adm,hr.ex.re</t>
  </si>
  <si>
    <t>Gast.op.adm,pr,incap</t>
  </si>
  <si>
    <t>Gast.op.adm,pr,auxtr</t>
  </si>
  <si>
    <t>Gast.op.adm,cesantía</t>
  </si>
  <si>
    <t>Gast.op.adm,int.cesa</t>
  </si>
  <si>
    <t>Gast.op.adm,prima se</t>
  </si>
  <si>
    <t>Gast.op.adm,vacacion</t>
  </si>
  <si>
    <t>Gast.op.adm,pr,auxil</t>
  </si>
  <si>
    <t>Gast.op.adm,pt,bonif</t>
  </si>
  <si>
    <t>Gast.op.adm,dotación</t>
  </si>
  <si>
    <t>Gast.op.adm,riesg.pr</t>
  </si>
  <si>
    <t>Gast.op.adm,prom.sal</t>
  </si>
  <si>
    <t>Gast.op.adm,fnd.pens</t>
  </si>
  <si>
    <t>Gast.op.adm,caj.comp</t>
  </si>
  <si>
    <t>Gast.op.adm,ap.ICBF</t>
  </si>
  <si>
    <t>Gast.op.adm., SENA</t>
  </si>
  <si>
    <t>Gast.op.adm,médicos</t>
  </si>
  <si>
    <t>Gast.op.adm., otros</t>
  </si>
  <si>
    <t>Gast.op.adm,honrevis</t>
  </si>
  <si>
    <t>Gast.op.adm,hon.otr.</t>
  </si>
  <si>
    <t>Gast.op.adm,hon.Pers</t>
  </si>
  <si>
    <t>Gast.op.adm,ICA</t>
  </si>
  <si>
    <t>Gast.op.adm,IVA desc</t>
  </si>
  <si>
    <t>Gastos, seguros vida</t>
  </si>
  <si>
    <t>Gast.,serv. internet</t>
  </si>
  <si>
    <t>Gast.,transp./fletes</t>
  </si>
  <si>
    <t>Gast.legal,reg.merc.</t>
  </si>
  <si>
    <t>Gast.legal,trámites</t>
  </si>
  <si>
    <t>Gast.repue.equ.comp.</t>
  </si>
  <si>
    <t>Gast.Mtto,Licencias</t>
  </si>
  <si>
    <t>Gast.viaj,Med Transp</t>
  </si>
  <si>
    <t>Gast.,depr.,constr.</t>
  </si>
  <si>
    <t>Gast.div,casino/rest</t>
  </si>
  <si>
    <t>Op.venta,publicidad</t>
  </si>
  <si>
    <t>N.op.fin, gast. Bank</t>
  </si>
  <si>
    <t>N.op.fin, gast.Manej</t>
  </si>
  <si>
    <t>N.op.fin, 4*1000</t>
  </si>
  <si>
    <t>N.op.fin, comisiones</t>
  </si>
  <si>
    <t>N.op.fin, int, Corr</t>
  </si>
  <si>
    <t>N.op.fin, int, Mora</t>
  </si>
  <si>
    <t>N.op.fin, int,Otro</t>
  </si>
  <si>
    <t>N.op.fin, Prov Inter</t>
  </si>
  <si>
    <t>N.op.fin, int, Rotat</t>
  </si>
  <si>
    <t>N.op.fin, dif.en ca</t>
  </si>
  <si>
    <t>N.op.fin, otros dif</t>
  </si>
  <si>
    <t>N.op.AjustPrecio</t>
  </si>
  <si>
    <t>N.op.pérd.mét.part,</t>
  </si>
  <si>
    <t>N.op.extrao.,ejerc.</t>
  </si>
  <si>
    <t>N.op.extrao,imptos.</t>
  </si>
  <si>
    <t>N.op.div.,donacione</t>
  </si>
  <si>
    <t>N.op.div.,Muestras</t>
  </si>
  <si>
    <t>N.op.div.,ajust peso</t>
  </si>
  <si>
    <t>Gto Impto.renta/comp</t>
  </si>
  <si>
    <t>C.v.comerc.Iva Desco</t>
  </si>
  <si>
    <t>C.v.comercio mercad</t>
  </si>
  <si>
    <t>C.v. Uso Instal Port</t>
  </si>
  <si>
    <t>C.v. Serv Oper/ Port</t>
  </si>
  <si>
    <t>C.v.M.car seg fluv/m</t>
  </si>
  <si>
    <t>C.v.M.carga seg resp</t>
  </si>
  <si>
    <t>C.v.almac Salar Inte</t>
  </si>
  <si>
    <t>C.v.almac Adm Sueldo</t>
  </si>
  <si>
    <t>C.v.almac Adm Jornal</t>
  </si>
  <si>
    <t>C.v.almac hr.ex.re</t>
  </si>
  <si>
    <t>C.v.almac incapacid</t>
  </si>
  <si>
    <t>C.v.almac aux trans</t>
  </si>
  <si>
    <t>C.v.almac cesantía</t>
  </si>
  <si>
    <t>C.v.almac int.cesa</t>
  </si>
  <si>
    <t>C.v.almac prima se</t>
  </si>
  <si>
    <t>C.v.almac vacacion</t>
  </si>
  <si>
    <t>C.v.almac auxilio</t>
  </si>
  <si>
    <t>C.v.almac bonifacio</t>
  </si>
  <si>
    <t>C.v.almac dotación</t>
  </si>
  <si>
    <t>C.v.almac indemniz</t>
  </si>
  <si>
    <t>C.v.almac riesg.pr</t>
  </si>
  <si>
    <t>C.v.almac prom.sal</t>
  </si>
  <si>
    <t>C.v.almac fnd.pens</t>
  </si>
  <si>
    <t>C.v.almac caj.comp</t>
  </si>
  <si>
    <t>C.v.almac ap.ICBF</t>
  </si>
  <si>
    <t>C.v.almac  SENA</t>
  </si>
  <si>
    <t>C.v.almac médicos</t>
  </si>
  <si>
    <t>C.v.almac Exame Medi</t>
  </si>
  <si>
    <t>C.v.almac hon audit</t>
  </si>
  <si>
    <t>C.v.almac ases.téc</t>
  </si>
  <si>
    <t>C.v.almac  hon.otro</t>
  </si>
  <si>
    <t>C.v.almac arr.terren</t>
  </si>
  <si>
    <t>C.v.almac arr.maquin</t>
  </si>
  <si>
    <t>C.v.almac arr.ofic</t>
  </si>
  <si>
    <t>C.v.almac Afiliaci</t>
  </si>
  <si>
    <t>C.v.almac seg respo</t>
  </si>
  <si>
    <t>C.v.almac aseo/vigi</t>
  </si>
  <si>
    <t>C.v.almacserv.asist</t>
  </si>
  <si>
    <t>C.v.almac acueduct</t>
  </si>
  <si>
    <t>C.v.almac energia</t>
  </si>
  <si>
    <t>C.v.almac teléfono</t>
  </si>
  <si>
    <t>C.v.almac Serv gas</t>
  </si>
  <si>
    <t>C.v.almac serv.otro</t>
  </si>
  <si>
    <t>C.v.almac legal,trá</t>
  </si>
  <si>
    <t>C.v.almac Mant const</t>
  </si>
  <si>
    <t>C.v.almac Mant maqui</t>
  </si>
  <si>
    <t>C.v.almac Mant ofici</t>
  </si>
  <si>
    <t>C.v.almac Mant compu</t>
  </si>
  <si>
    <t>C.v.almac Mant trans</t>
  </si>
  <si>
    <t>C.v.almac adec elect</t>
  </si>
  <si>
    <t>C.v.almac adec. Loca</t>
  </si>
  <si>
    <t>C.v.almac adec. Mat</t>
  </si>
  <si>
    <t>C.v.almac med transp</t>
  </si>
  <si>
    <t>C.v.almac depr const</t>
  </si>
  <si>
    <t>C.v.almac depr maqui</t>
  </si>
  <si>
    <t>C.v.almac depr E/ofi</t>
  </si>
  <si>
    <t>C.v.almac depr E/com</t>
  </si>
  <si>
    <t>C.v.almac depr trans</t>
  </si>
  <si>
    <t>C.v.almac depr armam</t>
  </si>
  <si>
    <t>C.v.almac Amort Dife</t>
  </si>
  <si>
    <t>C.v.almac div, comis</t>
  </si>
  <si>
    <t>C.v.almac div, E/ase</t>
  </si>
  <si>
    <t>C.v.almac div, útile</t>
  </si>
  <si>
    <t>C.v.almac div, combu</t>
  </si>
  <si>
    <t>C.v.almac div, taxis</t>
  </si>
  <si>
    <t>C.v.almac div, casin</t>
  </si>
  <si>
    <t>C.v.almac div, parqu</t>
  </si>
  <si>
    <t>C.v.almac div, peaje</t>
  </si>
  <si>
    <t>C.v.almac Mat Embarq</t>
  </si>
  <si>
    <t>C.v.almac Seg Indust</t>
  </si>
  <si>
    <t>C.v.almac div, herra</t>
  </si>
  <si>
    <t>C.v.almac div, otros</t>
  </si>
  <si>
    <t>Cost Proyectos Mater</t>
  </si>
  <si>
    <t>Cost Proyectos Servi</t>
  </si>
  <si>
    <t>Bien.Recib.Terceros</t>
  </si>
  <si>
    <t>cuenta carga cta May</t>
  </si>
  <si>
    <t>RETEICA</t>
  </si>
  <si>
    <t>Terminales De Graneles Liquidos Del Caribe</t>
  </si>
  <si>
    <t>819002433-6</t>
  </si>
  <si>
    <t>Revisoria fiscal</t>
  </si>
  <si>
    <t>Julio</t>
  </si>
  <si>
    <t>NIIF Plenas</t>
  </si>
  <si>
    <t>Robinson Romero</t>
  </si>
  <si>
    <t>Versión: 02 Fecha: 12/10/2020</t>
  </si>
  <si>
    <t>Revisión Reteica</t>
  </si>
  <si>
    <t>Santa Marta</t>
  </si>
  <si>
    <t xml:space="preserve">** En la siguiente ruta se encuentra las facturas y causaciones de los comprobantes validados: 
</t>
  </si>
  <si>
    <t>Actividad economica 3315</t>
  </si>
  <si>
    <t>ACTIVIDAD ECONOMICA</t>
  </si>
  <si>
    <t>TARIFA</t>
  </si>
  <si>
    <t>BASE GRAVABLE</t>
  </si>
  <si>
    <t>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</si>
</sst>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-&quot;$&quot;* #,##0.00_-;\-&quot;$&quot;* #,##0.00_-;_-&quot;$&quot;* &quot;-&quot;??_-;_-@_-"/>
    <numFmt numFmtId="169" formatCode="_-* #,##0_-;\-* #,##0_-;_-* &quot;-&quot;??_-;_-@_-"/>
    <numFmt numFmtId="170" formatCode="_(&quot;$&quot;* #,##0_);_(&quot;$&quot;* \(#,##0\);_(&quot;$&quot;* &quot;-&quot;??_);_(@_)"/>
    <numFmt numFmtId="171" formatCode="#,##0.000"/>
    <numFmt numFmtId="172" formatCode="_(* #,##0.000_);_(* \(#,##0.00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Verdana   "/>
    </font>
    <font>
      <sz val="10"/>
      <color indexed="8"/>
      <name val="MS Sans Serif"/>
    </font>
    <font>
      <b/>
      <sz val="15.95"/>
      <color indexed="8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Webdings"/>
      <family val="1"/>
      <charset val="2"/>
    </font>
    <font>
      <sz val="11"/>
      <color theme="1"/>
      <name val="Arial"/>
      <family val="2"/>
    </font>
    <font>
      <b/>
      <sz val="11"/>
      <color rgb="FF002060"/>
      <name val="Arial Narrow"/>
      <family val="2"/>
    </font>
    <font>
      <sz val="10"/>
      <name val="Verdana"/>
      <family val="2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 val="singleAccounting"/>
      <sz val="14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7">
    <xf numFmtId="0" fontId="0" fillId="0" borderId="0"/>
    <xf numFmtId="0" fontId="5" fillId="0" borderId="0"/>
    <xf numFmtId="0" fontId="7" fillId="0" borderId="0"/>
    <xf numFmtId="0" fontId="8" fillId="0" borderId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3" fillId="0" borderId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24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4">
    <xf numFmtId="0" fontId="0" fillId="0" borderId="0" xfId="0"/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3" fontId="3" fillId="0" borderId="3" xfId="0" applyNumberFormat="1" applyFont="1" applyBorder="1"/>
    <xf numFmtId="3" fontId="3" fillId="0" borderId="5" xfId="0" applyNumberFormat="1" applyFont="1" applyBorder="1"/>
    <xf numFmtId="3" fontId="3" fillId="0" borderId="7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center"/>
    </xf>
    <xf numFmtId="166" fontId="2" fillId="0" borderId="0" xfId="8" applyFont="1" applyAlignment="1">
      <alignment horizontal="center"/>
    </xf>
    <xf numFmtId="167" fontId="0" fillId="0" borderId="0" xfId="8" applyNumberFormat="1" applyFont="1"/>
    <xf numFmtId="165" fontId="3" fillId="0" borderId="0" xfId="9" applyFont="1"/>
    <xf numFmtId="167" fontId="11" fillId="0" borderId="0" xfId="8" applyNumberFormat="1" applyFont="1"/>
    <xf numFmtId="3" fontId="3" fillId="2" borderId="3" xfId="0" applyNumberFormat="1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0" fontId="6" fillId="2" borderId="4" xfId="0" applyFont="1" applyFill="1" applyBorder="1" applyAlignment="1">
      <alignment vertical="center" textRotation="90"/>
    </xf>
    <xf numFmtId="0" fontId="6" fillId="2" borderId="14" xfId="0" applyFont="1" applyFill="1" applyBorder="1" applyAlignment="1">
      <alignment vertical="center" textRotation="90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3" fontId="3" fillId="0" borderId="23" xfId="0" applyNumberFormat="1" applyFont="1" applyBorder="1"/>
    <xf numFmtId="0" fontId="4" fillId="0" borderId="24" xfId="0" applyFont="1" applyBorder="1" applyAlignment="1">
      <alignment vertical="center"/>
    </xf>
    <xf numFmtId="3" fontId="3" fillId="0" borderId="25" xfId="0" applyNumberFormat="1" applyFont="1" applyBorder="1"/>
    <xf numFmtId="0" fontId="4" fillId="0" borderId="26" xfId="0" applyFont="1" applyBorder="1" applyAlignment="1">
      <alignment vertical="center"/>
    </xf>
    <xf numFmtId="3" fontId="3" fillId="0" borderId="27" xfId="0" applyNumberFormat="1" applyFont="1" applyBorder="1"/>
    <xf numFmtId="3" fontId="3" fillId="0" borderId="28" xfId="0" applyNumberFormat="1" applyFont="1" applyBorder="1"/>
    <xf numFmtId="0" fontId="4" fillId="0" borderId="29" xfId="0" applyFont="1" applyBorder="1" applyAlignment="1">
      <alignment vertical="center"/>
    </xf>
    <xf numFmtId="0" fontId="3" fillId="2" borderId="0" xfId="0" applyFont="1" applyFill="1" applyAlignment="1">
      <alignment horizontal="center"/>
    </xf>
    <xf numFmtId="3" fontId="3" fillId="2" borderId="27" xfId="0" applyNumberFormat="1" applyFont="1" applyFill="1" applyBorder="1"/>
    <xf numFmtId="0" fontId="3" fillId="0" borderId="12" xfId="0" applyFont="1" applyBorder="1" applyAlignment="1">
      <alignment horizontal="center"/>
    </xf>
    <xf numFmtId="167" fontId="0" fillId="0" borderId="0" xfId="0" applyNumberFormat="1"/>
    <xf numFmtId="167" fontId="11" fillId="0" borderId="0" xfId="8" applyNumberFormat="1" applyFont="1" applyAlignment="1">
      <alignment horizontal="center"/>
    </xf>
    <xf numFmtId="0" fontId="11" fillId="0" borderId="0" xfId="0" applyFont="1" applyAlignment="1">
      <alignment horizontal="center"/>
    </xf>
    <xf numFmtId="4" fontId="0" fillId="0" borderId="33" xfId="0" applyNumberFormat="1" applyBorder="1" applyAlignment="1">
      <alignment horizontal="right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5" fillId="0" borderId="29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3" fillId="0" borderId="9" xfId="0" applyFont="1" applyBorder="1" applyAlignment="1">
      <alignment horizontal="center"/>
    </xf>
    <xf numFmtId="0" fontId="11" fillId="0" borderId="0" xfId="0" applyFont="1"/>
    <xf numFmtId="0" fontId="16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14" fontId="19" fillId="0" borderId="1" xfId="0" applyNumberFormat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/>
    </xf>
    <xf numFmtId="0" fontId="11" fillId="0" borderId="33" xfId="0" applyFont="1" applyBorder="1" applyAlignment="1">
      <alignment vertical="center"/>
    </xf>
    <xf numFmtId="0" fontId="20" fillId="0" borderId="34" xfId="0" applyFont="1" applyBorder="1" applyAlignment="1">
      <alignment horizontal="center"/>
    </xf>
    <xf numFmtId="0" fontId="11" fillId="0" borderId="11" xfId="0" applyFont="1" applyBorder="1" applyAlignment="1">
      <alignment vertical="center"/>
    </xf>
    <xf numFmtId="0" fontId="21" fillId="0" borderId="13" xfId="0" applyFont="1" applyBorder="1" applyAlignment="1">
      <alignment horizontal="center"/>
    </xf>
    <xf numFmtId="0" fontId="22" fillId="0" borderId="0" xfId="0" applyFont="1"/>
    <xf numFmtId="0" fontId="17" fillId="0" borderId="0" xfId="0" applyFont="1" applyAlignment="1">
      <alignment horizontal="left"/>
    </xf>
    <xf numFmtId="0" fontId="0" fillId="0" borderId="9" xfId="0" applyBorder="1"/>
    <xf numFmtId="0" fontId="0" fillId="0" borderId="0" xfId="0" applyAlignment="1">
      <alignment vertical="center"/>
    </xf>
    <xf numFmtId="0" fontId="11" fillId="0" borderId="8" xfId="0" applyFont="1" applyBorder="1" applyAlignment="1">
      <alignment horizontal="left" vertical="center"/>
    </xf>
    <xf numFmtId="0" fontId="0" fillId="0" borderId="10" xfId="0" applyBorder="1"/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6" fontId="0" fillId="0" borderId="34" xfId="8" applyFont="1" applyBorder="1"/>
    <xf numFmtId="4" fontId="11" fillId="0" borderId="11" xfId="0" applyNumberFormat="1" applyFont="1" applyBorder="1"/>
    <xf numFmtId="0" fontId="11" fillId="0" borderId="12" xfId="0" applyFont="1" applyBorder="1" applyAlignment="1">
      <alignment horizontal="center"/>
    </xf>
    <xf numFmtId="166" fontId="11" fillId="0" borderId="13" xfId="8" applyFont="1" applyBorder="1"/>
    <xf numFmtId="0" fontId="0" fillId="3" borderId="0" xfId="0" applyFill="1" applyAlignment="1">
      <alignment horizontal="left" wrapText="1"/>
    </xf>
    <xf numFmtId="170" fontId="0" fillId="0" borderId="0" xfId="9" applyNumberFormat="1" applyFont="1" applyAlignment="1">
      <alignment vertical="center"/>
    </xf>
    <xf numFmtId="43" fontId="0" fillId="0" borderId="0" xfId="0" applyNumberFormat="1"/>
    <xf numFmtId="43" fontId="0" fillId="0" borderId="0" xfId="0" applyNumberFormat="1" applyAlignment="1">
      <alignment horizontal="right"/>
    </xf>
    <xf numFmtId="43" fontId="3" fillId="0" borderId="0" xfId="0" applyNumberFormat="1" applyFont="1"/>
    <xf numFmtId="0" fontId="17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3" fontId="0" fillId="0" borderId="0" xfId="0" applyNumberFormat="1"/>
    <xf numFmtId="3" fontId="11" fillId="0" borderId="0" xfId="0" applyNumberFormat="1" applyFont="1"/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0" fillId="3" borderId="33" xfId="0" applyFill="1" applyBorder="1"/>
    <xf numFmtId="0" fontId="0" fillId="3" borderId="0" xfId="0" applyFill="1"/>
    <xf numFmtId="3" fontId="0" fillId="3" borderId="0" xfId="0" applyNumberFormat="1" applyFill="1"/>
    <xf numFmtId="0" fontId="0" fillId="3" borderId="34" xfId="0" applyFill="1" applyBorder="1"/>
    <xf numFmtId="0" fontId="0" fillId="3" borderId="11" xfId="0" applyFill="1" applyBorder="1"/>
    <xf numFmtId="0" fontId="0" fillId="3" borderId="12" xfId="0" applyFill="1" applyBorder="1"/>
    <xf numFmtId="3" fontId="0" fillId="3" borderId="12" xfId="0" applyNumberFormat="1" applyFill="1" applyBorder="1"/>
    <xf numFmtId="0" fontId="0" fillId="3" borderId="13" xfId="0" applyFill="1" applyBorder="1"/>
    <xf numFmtId="3" fontId="11" fillId="3" borderId="0" xfId="0" applyNumberFormat="1" applyFont="1" applyFill="1"/>
    <xf numFmtId="0" fontId="27" fillId="0" borderId="0" xfId="0" applyFont="1"/>
    <xf numFmtId="167" fontId="27" fillId="0" borderId="0" xfId="8" applyNumberFormat="1" applyFont="1"/>
    <xf numFmtId="1" fontId="27" fillId="0" borderId="0" xfId="0" applyNumberFormat="1" applyFont="1"/>
    <xf numFmtId="0" fontId="29" fillId="0" borderId="0" xfId="0" applyFont="1"/>
    <xf numFmtId="0" fontId="31" fillId="0" borderId="0" xfId="0" applyFont="1" applyAlignment="1">
      <alignment horizontal="center"/>
    </xf>
    <xf numFmtId="0" fontId="27" fillId="7" borderId="15" xfId="0" applyFont="1" applyFill="1" applyBorder="1" applyAlignment="1">
      <alignment horizontal="center"/>
    </xf>
    <xf numFmtId="0" fontId="27" fillId="7" borderId="16" xfId="0" applyFont="1" applyFill="1" applyBorder="1" applyAlignment="1">
      <alignment horizontal="center"/>
    </xf>
    <xf numFmtId="167" fontId="27" fillId="7" borderId="16" xfId="0" applyNumberFormat="1" applyFont="1" applyFill="1" applyBorder="1"/>
    <xf numFmtId="167" fontId="27" fillId="7" borderId="44" xfId="0" applyNumberFormat="1" applyFont="1" applyFill="1" applyBorder="1"/>
    <xf numFmtId="167" fontId="27" fillId="0" borderId="35" xfId="8" applyNumberFormat="1" applyFont="1" applyBorder="1"/>
    <xf numFmtId="0" fontId="27" fillId="0" borderId="36" xfId="0" applyFont="1" applyBorder="1"/>
    <xf numFmtId="0" fontId="27" fillId="0" borderId="37" xfId="0" applyFont="1" applyBorder="1" applyAlignment="1">
      <alignment horizontal="center"/>
    </xf>
    <xf numFmtId="0" fontId="27" fillId="0" borderId="45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167" fontId="27" fillId="7" borderId="1" xfId="0" applyNumberFormat="1" applyFont="1" applyFill="1" applyBorder="1"/>
    <xf numFmtId="167" fontId="27" fillId="7" borderId="46" xfId="0" applyNumberFormat="1" applyFont="1" applyFill="1" applyBorder="1"/>
    <xf numFmtId="167" fontId="27" fillId="0" borderId="8" xfId="8" applyNumberFormat="1" applyFont="1" applyBorder="1"/>
    <xf numFmtId="0" fontId="27" fillId="0" borderId="9" xfId="0" applyFont="1" applyBorder="1"/>
    <xf numFmtId="0" fontId="27" fillId="0" borderId="10" xfId="0" applyFont="1" applyBorder="1" applyAlignment="1">
      <alignment horizontal="center"/>
    </xf>
    <xf numFmtId="1" fontId="27" fillId="0" borderId="0" xfId="26" applyNumberFormat="1" applyFont="1"/>
    <xf numFmtId="167" fontId="27" fillId="0" borderId="33" xfId="8" applyNumberFormat="1" applyFont="1" applyBorder="1"/>
    <xf numFmtId="1" fontId="27" fillId="0" borderId="0" xfId="26" applyNumberFormat="1" applyFont="1" applyBorder="1"/>
    <xf numFmtId="0" fontId="27" fillId="0" borderId="34" xfId="0" applyFont="1" applyBorder="1" applyAlignment="1">
      <alignment horizontal="center"/>
    </xf>
    <xf numFmtId="0" fontId="27" fillId="7" borderId="45" xfId="0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/>
    </xf>
    <xf numFmtId="0" fontId="27" fillId="0" borderId="47" xfId="0" applyFont="1" applyBorder="1" applyAlignment="1">
      <alignment horizontal="center"/>
    </xf>
    <xf numFmtId="0" fontId="27" fillId="0" borderId="48" xfId="0" applyFont="1" applyBorder="1" applyAlignment="1">
      <alignment horizontal="center"/>
    </xf>
    <xf numFmtId="167" fontId="27" fillId="7" borderId="48" xfId="0" applyNumberFormat="1" applyFont="1" applyFill="1" applyBorder="1"/>
    <xf numFmtId="167" fontId="27" fillId="7" borderId="49" xfId="0" applyNumberFormat="1" applyFont="1" applyFill="1" applyBorder="1"/>
    <xf numFmtId="167" fontId="27" fillId="0" borderId="11" xfId="8" applyNumberFormat="1" applyFont="1" applyBorder="1"/>
    <xf numFmtId="0" fontId="27" fillId="0" borderId="12" xfId="0" applyFont="1" applyBorder="1"/>
    <xf numFmtId="0" fontId="27" fillId="0" borderId="13" xfId="0" applyFont="1" applyBorder="1" applyAlignment="1">
      <alignment horizontal="center"/>
    </xf>
    <xf numFmtId="0" fontId="27" fillId="7" borderId="47" xfId="0" applyFont="1" applyFill="1" applyBorder="1" applyAlignment="1">
      <alignment horizontal="center"/>
    </xf>
    <xf numFmtId="0" fontId="27" fillId="7" borderId="48" xfId="0" applyFont="1" applyFill="1" applyBorder="1" applyAlignment="1">
      <alignment horizontal="center"/>
    </xf>
    <xf numFmtId="0" fontId="27" fillId="0" borderId="3" xfId="0" applyFont="1" applyBorder="1" applyAlignment="1">
      <alignment horizontal="center"/>
    </xf>
    <xf numFmtId="167" fontId="27" fillId="7" borderId="3" xfId="0" applyNumberFormat="1" applyFont="1" applyFill="1" applyBorder="1"/>
    <xf numFmtId="167" fontId="27" fillId="0" borderId="36" xfId="0" applyNumberFormat="1" applyFont="1" applyBorder="1"/>
    <xf numFmtId="0" fontId="27" fillId="0" borderId="0" xfId="0" applyFont="1" applyAlignment="1">
      <alignment horizontal="center"/>
    </xf>
    <xf numFmtId="167" fontId="27" fillId="0" borderId="0" xfId="0" applyNumberFormat="1" applyFont="1"/>
    <xf numFmtId="3" fontId="27" fillId="0" borderId="0" xfId="0" applyNumberFormat="1" applyFont="1"/>
    <xf numFmtId="0" fontId="27" fillId="7" borderId="41" xfId="0" applyFont="1" applyFill="1" applyBorder="1" applyAlignment="1">
      <alignment horizontal="center"/>
    </xf>
    <xf numFmtId="0" fontId="27" fillId="7" borderId="42" xfId="0" applyFont="1" applyFill="1" applyBorder="1" applyAlignment="1">
      <alignment horizontal="left"/>
    </xf>
    <xf numFmtId="167" fontId="27" fillId="7" borderId="42" xfId="0" applyNumberFormat="1" applyFont="1" applyFill="1" applyBorder="1"/>
    <xf numFmtId="0" fontId="27" fillId="0" borderId="41" xfId="0" applyFont="1" applyBorder="1" applyAlignment="1">
      <alignment horizontal="center"/>
    </xf>
    <xf numFmtId="0" fontId="27" fillId="0" borderId="42" xfId="0" applyFont="1" applyBorder="1" applyAlignment="1">
      <alignment horizontal="left"/>
    </xf>
    <xf numFmtId="167" fontId="27" fillId="0" borderId="42" xfId="0" applyNumberFormat="1" applyFont="1" applyBorder="1"/>
    <xf numFmtId="0" fontId="29" fillId="7" borderId="42" xfId="0" applyFont="1" applyFill="1" applyBorder="1" applyAlignment="1">
      <alignment horizontal="left"/>
    </xf>
    <xf numFmtId="167" fontId="29" fillId="7" borderId="42" xfId="0" applyNumberFormat="1" applyFont="1" applyFill="1" applyBorder="1"/>
    <xf numFmtId="0" fontId="27" fillId="6" borderId="50" xfId="0" applyFont="1" applyFill="1" applyBorder="1" applyAlignment="1">
      <alignment horizontal="center"/>
    </xf>
    <xf numFmtId="0" fontId="30" fillId="0" borderId="42" xfId="0" applyFont="1" applyBorder="1" applyAlignment="1">
      <alignment horizontal="left"/>
    </xf>
    <xf numFmtId="3" fontId="33" fillId="0" borderId="34" xfId="0" applyNumberFormat="1" applyFont="1" applyBorder="1"/>
    <xf numFmtId="0" fontId="27" fillId="0" borderId="42" xfId="0" applyFont="1" applyBorder="1" applyAlignment="1">
      <alignment horizontal="center"/>
    </xf>
    <xf numFmtId="0" fontId="34" fillId="5" borderId="41" xfId="0" applyFont="1" applyFill="1" applyBorder="1" applyAlignment="1">
      <alignment horizontal="center"/>
    </xf>
    <xf numFmtId="0" fontId="34" fillId="5" borderId="42" xfId="0" applyFont="1" applyFill="1" applyBorder="1"/>
    <xf numFmtId="167" fontId="34" fillId="5" borderId="42" xfId="0" applyNumberFormat="1" applyFont="1" applyFill="1" applyBorder="1"/>
    <xf numFmtId="167" fontId="34" fillId="5" borderId="43" xfId="0" applyNumberFormat="1" applyFont="1" applyFill="1" applyBorder="1"/>
    <xf numFmtId="167" fontId="27" fillId="0" borderId="36" xfId="8" applyNumberFormat="1" applyFont="1" applyFill="1" applyBorder="1"/>
    <xf numFmtId="167" fontId="27" fillId="0" borderId="0" xfId="8" applyNumberFormat="1" applyFont="1" applyFill="1" applyBorder="1"/>
    <xf numFmtId="167" fontId="27" fillId="0" borderId="12" xfId="8" applyNumberFormat="1" applyFont="1" applyFill="1" applyBorder="1"/>
    <xf numFmtId="167" fontId="27" fillId="0" borderId="0" xfId="8" applyNumberFormat="1" applyFont="1" applyFill="1"/>
    <xf numFmtId="167" fontId="32" fillId="0" borderId="0" xfId="8" applyNumberFormat="1" applyFont="1" applyFill="1"/>
    <xf numFmtId="0" fontId="17" fillId="0" borderId="4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/>
    <xf numFmtId="3" fontId="2" fillId="0" borderId="0" xfId="0" applyNumberFormat="1" applyFont="1"/>
    <xf numFmtId="43" fontId="2" fillId="0" borderId="0" xfId="0" applyNumberFormat="1" applyFont="1"/>
    <xf numFmtId="3" fontId="0" fillId="0" borderId="0" xfId="0" applyNumberFormat="1" applyAlignment="1">
      <alignment horizontal="right"/>
    </xf>
    <xf numFmtId="171" fontId="0" fillId="0" borderId="33" xfId="0" applyNumberFormat="1" applyBorder="1" applyAlignment="1">
      <alignment horizontal="right"/>
    </xf>
    <xf numFmtId="167" fontId="27" fillId="8" borderId="8" xfId="8" applyNumberFormat="1" applyFont="1" applyFill="1" applyBorder="1"/>
    <xf numFmtId="3" fontId="27" fillId="8" borderId="0" xfId="0" applyNumberFormat="1" applyFont="1" applyFill="1"/>
    <xf numFmtId="0" fontId="27" fillId="8" borderId="9" xfId="0" applyFont="1" applyFill="1" applyBorder="1"/>
    <xf numFmtId="167" fontId="27" fillId="8" borderId="33" xfId="8" applyNumberFormat="1" applyFont="1" applyFill="1" applyBorder="1"/>
    <xf numFmtId="3" fontId="26" fillId="8" borderId="0" xfId="0" applyNumberFormat="1" applyFont="1" applyFill="1"/>
    <xf numFmtId="0" fontId="27" fillId="8" borderId="0" xfId="0" applyFont="1" applyFill="1"/>
    <xf numFmtId="0" fontId="0" fillId="0" borderId="1" xfId="0" applyBorder="1"/>
    <xf numFmtId="0" fontId="0" fillId="0" borderId="1" xfId="0" applyBorder="1" applyAlignment="1">
      <alignment horizontal="right"/>
    </xf>
    <xf numFmtId="14" fontId="25" fillId="0" borderId="1" xfId="0" applyNumberFormat="1" applyFont="1" applyBorder="1" applyAlignment="1">
      <alignment horizontal="center" vertical="center"/>
    </xf>
    <xf numFmtId="166" fontId="25" fillId="0" borderId="1" xfId="8" applyFont="1" applyFill="1" applyBorder="1" applyAlignment="1">
      <alignment horizontal="center" vertical="center" wrapText="1"/>
    </xf>
    <xf numFmtId="167" fontId="1" fillId="0" borderId="1" xfId="8" applyNumberFormat="1" applyFont="1" applyFill="1" applyBorder="1" applyAlignment="1">
      <alignment horizontal="center" vertical="center" wrapText="1"/>
    </xf>
    <xf numFmtId="3" fontId="0" fillId="0" borderId="1" xfId="0" applyNumberFormat="1" applyBorder="1"/>
    <xf numFmtId="166" fontId="25" fillId="0" borderId="1" xfId="8" applyFont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0" fillId="0" borderId="45" xfId="0" applyBorder="1"/>
    <xf numFmtId="167" fontId="1" fillId="0" borderId="46" xfId="8" applyNumberFormat="1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 applyAlignment="1">
      <alignment horizontal="right"/>
    </xf>
    <xf numFmtId="14" fontId="25" fillId="0" borderId="48" xfId="0" applyNumberFormat="1" applyFont="1" applyBorder="1" applyAlignment="1">
      <alignment horizontal="center" vertical="center"/>
    </xf>
    <xf numFmtId="0" fontId="0" fillId="0" borderId="48" xfId="0" applyBorder="1"/>
    <xf numFmtId="169" fontId="25" fillId="0" borderId="48" xfId="18" applyNumberFormat="1" applyFont="1" applyFill="1" applyBorder="1" applyAlignment="1">
      <alignment horizontal="center" vertical="center"/>
    </xf>
    <xf numFmtId="166" fontId="25" fillId="0" borderId="48" xfId="8" applyFont="1" applyBorder="1" applyAlignment="1">
      <alignment horizontal="center" vertical="center" wrapText="1"/>
    </xf>
    <xf numFmtId="3" fontId="0" fillId="0" borderId="48" xfId="0" applyNumberFormat="1" applyBorder="1"/>
    <xf numFmtId="169" fontId="0" fillId="0" borderId="49" xfId="0" applyNumberFormat="1" applyBorder="1" applyAlignment="1">
      <alignment vertical="center"/>
    </xf>
    <xf numFmtId="167" fontId="1" fillId="0" borderId="48" xfId="8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" fontId="0" fillId="0" borderId="33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166" fontId="0" fillId="0" borderId="34" xfId="8" applyFont="1" applyBorder="1" applyAlignment="1">
      <alignment vertical="center"/>
    </xf>
    <xf numFmtId="0" fontId="0" fillId="3" borderId="45" xfId="0" applyFill="1" applyBorder="1"/>
    <xf numFmtId="0" fontId="0" fillId="3" borderId="1" xfId="0" applyFill="1" applyBorder="1" applyAlignment="1">
      <alignment horizontal="right"/>
    </xf>
    <xf numFmtId="14" fontId="2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66" fontId="25" fillId="3" borderId="1" xfId="8" applyFont="1" applyFill="1" applyBorder="1" applyAlignment="1">
      <alignment horizontal="center" vertical="center" wrapText="1"/>
    </xf>
    <xf numFmtId="172" fontId="25" fillId="3" borderId="1" xfId="8" applyNumberFormat="1" applyFont="1" applyFill="1" applyBorder="1" applyAlignment="1">
      <alignment horizontal="center" vertical="center" wrapText="1"/>
    </xf>
    <xf numFmtId="167" fontId="1" fillId="3" borderId="1" xfId="8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/>
    <xf numFmtId="167" fontId="1" fillId="3" borderId="46" xfId="8" applyNumberFormat="1" applyFont="1" applyFill="1" applyBorder="1" applyAlignment="1">
      <alignment horizontal="center" vertical="center" wrapText="1"/>
    </xf>
    <xf numFmtId="166" fontId="0" fillId="0" borderId="0" xfId="8" applyFont="1"/>
    <xf numFmtId="172" fontId="0" fillId="0" borderId="0" xfId="8" applyNumberFormat="1" applyFont="1"/>
    <xf numFmtId="170" fontId="0" fillId="0" borderId="0" xfId="9" applyNumberFormat="1" applyFont="1"/>
    <xf numFmtId="170" fontId="11" fillId="0" borderId="0" xfId="9" applyNumberFormat="1" applyFont="1"/>
    <xf numFmtId="170" fontId="11" fillId="0" borderId="0" xfId="0" applyNumberFormat="1" applyFont="1"/>
    <xf numFmtId="0" fontId="15" fillId="0" borderId="3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26" xfId="0" applyFont="1" applyFill="1" applyBorder="1"/>
    <xf numFmtId="0" fontId="6" fillId="2" borderId="0" xfId="0" applyFont="1" applyFill="1" applyAlignment="1">
      <alignment horizontal="center" vertical="center"/>
    </xf>
    <xf numFmtId="0" fontId="4" fillId="0" borderId="30" xfId="0" applyFont="1" applyBorder="1" applyAlignment="1">
      <alignment vertical="center"/>
    </xf>
    <xf numFmtId="3" fontId="3" fillId="0" borderId="31" xfId="0" applyNumberFormat="1" applyFont="1" applyBorder="1" applyAlignment="1">
      <alignment vertical="center"/>
    </xf>
    <xf numFmtId="3" fontId="3" fillId="0" borderId="52" xfId="0" applyNumberFormat="1" applyFont="1" applyBorder="1"/>
    <xf numFmtId="3" fontId="3" fillId="0" borderId="53" xfId="0" applyNumberFormat="1" applyFont="1" applyBorder="1"/>
    <xf numFmtId="0" fontId="31" fillId="10" borderId="51" xfId="0" applyFont="1" applyFill="1" applyBorder="1" applyAlignment="1">
      <alignment horizontal="center"/>
    </xf>
    <xf numFmtId="0" fontId="29" fillId="10" borderId="51" xfId="0" applyFont="1" applyFill="1" applyBorder="1" applyAlignment="1">
      <alignment horizontal="center"/>
    </xf>
    <xf numFmtId="0" fontId="30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167" fontId="27" fillId="7" borderId="27" xfId="0" applyNumberFormat="1" applyFont="1" applyFill="1" applyBorder="1"/>
    <xf numFmtId="0" fontId="27" fillId="0" borderId="3" xfId="0" applyFont="1" applyBorder="1"/>
    <xf numFmtId="167" fontId="27" fillId="0" borderId="3" xfId="0" applyNumberFormat="1" applyFont="1" applyBorder="1"/>
    <xf numFmtId="167" fontId="27" fillId="0" borderId="27" xfId="0" applyNumberFormat="1" applyFont="1" applyBorder="1"/>
    <xf numFmtId="0" fontId="27" fillId="6" borderId="54" xfId="0" applyFont="1" applyFill="1" applyBorder="1"/>
    <xf numFmtId="0" fontId="27" fillId="6" borderId="55" xfId="0" applyFont="1" applyFill="1" applyBorder="1"/>
    <xf numFmtId="167" fontId="29" fillId="6" borderId="55" xfId="0" applyNumberFormat="1" applyFont="1" applyFill="1" applyBorder="1"/>
    <xf numFmtId="167" fontId="29" fillId="6" borderId="56" xfId="0" applyNumberFormat="1" applyFont="1" applyFill="1" applyBorder="1"/>
    <xf numFmtId="3" fontId="3" fillId="0" borderId="39" xfId="0" applyNumberFormat="1" applyFont="1" applyBorder="1" applyAlignment="1">
      <alignment horizontal="center" vertical="center"/>
    </xf>
    <xf numFmtId="3" fontId="3" fillId="0" borderId="39" xfId="0" applyNumberFormat="1" applyFont="1" applyBorder="1" applyAlignment="1">
      <alignment horizontal="center"/>
    </xf>
    <xf numFmtId="3" fontId="3" fillId="0" borderId="40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/>
    </xf>
    <xf numFmtId="3" fontId="3" fillId="0" borderId="2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25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 vertical="center"/>
    </xf>
    <xf numFmtId="3" fontId="2" fillId="0" borderId="31" xfId="0" applyNumberFormat="1" applyFont="1" applyBorder="1" applyAlignment="1">
      <alignment horizontal="center" vertical="center"/>
    </xf>
    <xf numFmtId="3" fontId="2" fillId="0" borderId="31" xfId="0" applyNumberFormat="1" applyFont="1" applyBorder="1" applyAlignment="1">
      <alignment horizontal="center"/>
    </xf>
    <xf numFmtId="3" fontId="2" fillId="0" borderId="3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165" fontId="3" fillId="0" borderId="0" xfId="9" applyFont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4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4" fontId="18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0" fillId="3" borderId="12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3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0" fontId="2" fillId="0" borderId="3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" fillId="2" borderId="14" xfId="0" applyFont="1" applyFill="1" applyBorder="1" applyAlignment="1">
      <alignment horizontal="center" vertical="center" textRotation="90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57" xfId="0" applyFont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7" fillId="0" borderId="0" xfId="0" applyFont="1" applyAlignment="1">
      <alignment horizontal="left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11" fillId="3" borderId="0" xfId="0" applyFont="1" applyFill="1" applyAlignment="1">
      <alignment horizontal="center"/>
    </xf>
  </cellXfs>
  <cellStyles count="27">
    <cellStyle name="Millares" xfId="8" builtinId="3"/>
    <cellStyle name="Millares [0]" xfId="26" builtinId="6"/>
    <cellStyle name="Millares 10" xfId="24" xr:uid="{EF3D2FC4-C2C3-41A9-8262-0B32EE3543A8}"/>
    <cellStyle name="Millares 2" xfId="4" xr:uid="{7E40AC8D-BBF8-49B9-AA68-F8C6F0C16B5C}"/>
    <cellStyle name="Millares 2 2 2 2 3" xfId="18" xr:uid="{827DC4D9-883B-4161-B685-62C30D2A91DC}"/>
    <cellStyle name="Millares 2 2 3 2" xfId="15" xr:uid="{BCFF7B25-A334-45BB-97E5-959A311E066D}"/>
    <cellStyle name="Millares 3" xfId="5" xr:uid="{7C1D92B5-9F6B-483A-BBE1-3105FD55ACD0}"/>
    <cellStyle name="Millares 4" xfId="7" xr:uid="{9525FDC4-B8E3-4425-9D04-E8EF33C01BF7}"/>
    <cellStyle name="Millares 5" xfId="23" xr:uid="{87590DE5-C303-4A84-ACF3-78A581A5680F}"/>
    <cellStyle name="Millares 7" xfId="21" xr:uid="{80BF0DFC-BA5E-4087-AAE6-56BD59F72442}"/>
    <cellStyle name="Moneda" xfId="9" builtinId="4"/>
    <cellStyle name="Moneda 2" xfId="25" xr:uid="{1963B0BA-CE4F-4AAD-B324-C9FEA3EC8745}"/>
    <cellStyle name="Moneda 3" xfId="16" xr:uid="{4482B394-59E7-432D-B38D-542AF54EE49D}"/>
    <cellStyle name="Normal" xfId="0" builtinId="0"/>
    <cellStyle name="Normal 2" xfId="1" xr:uid="{D92F705A-1EDF-4009-A1A4-DBCE1BD65F07}"/>
    <cellStyle name="Normal 2 2" xfId="11" xr:uid="{942DF828-95FA-44F0-9194-229759366827}"/>
    <cellStyle name="Normal 2 3" xfId="13" xr:uid="{575EB49D-DB06-44B2-9DD7-4534FF1C3F18}"/>
    <cellStyle name="Normal 3" xfId="2" xr:uid="{6EBBA0A4-E48D-40A0-9589-02FF834146C8}"/>
    <cellStyle name="Normal 4" xfId="3" xr:uid="{6F97FB1C-276C-4B4F-A9E2-1473441EB495}"/>
    <cellStyle name="Normal 5" xfId="6" xr:uid="{C57D5F4F-7EA5-4DA1-BDE0-A8353F7ACC3E}"/>
    <cellStyle name="Normal 5 2" xfId="22" xr:uid="{DB944DCF-C8DB-49A2-946A-8C4ACB77F417}"/>
    <cellStyle name="Normal 6" xfId="10" xr:uid="{5CBD8B44-4F63-4540-B212-383A651804DD}"/>
    <cellStyle name="Normal 7" xfId="12" xr:uid="{39DCB492-FA1A-4070-BFCD-7D6CE9EA9616}"/>
    <cellStyle name="Normal 7 2" xfId="20" xr:uid="{3839666A-D316-4FB3-901C-80235EBE0728}"/>
    <cellStyle name="Normal 8" xfId="19" xr:uid="{87E13D03-244F-48C9-9DFB-12A02E94557F}"/>
    <cellStyle name="Porcentaje 2 2 2 2 3" xfId="17" xr:uid="{C61A97AA-04BA-4CBD-8575-4C3CC60CC867}"/>
    <cellStyle name="Porcentaje 2 2 3 2" xfId="14" xr:uid="{A14F675F-4D72-4D05-BF5C-8D93ED456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1</xdr:row>
      <xdr:rowOff>95250</xdr:rowOff>
    </xdr:from>
    <xdr:to>
      <xdr:col>9</xdr:col>
      <xdr:colOff>624841</xdr:colOff>
      <xdr:row>10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8C81C3-5C6B-4318-BA1E-246E20552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276225"/>
          <a:ext cx="196215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785588</xdr:colOff>
      <xdr:row>39</xdr:row>
      <xdr:rowOff>62486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B467E7-9CAE-45C5-8F8F-59694090C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116"/>
          <a:ext cx="5534797" cy="7020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720617</xdr:colOff>
      <xdr:row>1</xdr:row>
      <xdr:rowOff>86491</xdr:rowOff>
    </xdr:from>
    <xdr:to>
      <xdr:col>8</xdr:col>
      <xdr:colOff>227725</xdr:colOff>
      <xdr:row>10</xdr:row>
      <xdr:rowOff>12112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8F6BF3-C45F-4E8E-BA5B-431661FC2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6410" y="270422"/>
          <a:ext cx="1644212" cy="15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304800</xdr:colOff>
      <xdr:row>39</xdr:row>
      <xdr:rowOff>133984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B345F5F0-FBAB-6A04-0D61-3C7508C292BC}"/>
            </a:ext>
          </a:extLst>
        </xdr:cNvPr>
        <xdr:cNvSpPr>
          <a:spLocks noChangeAspect="1" noChangeArrowheads="1"/>
        </xdr:cNvSpPr>
      </xdr:nvSpPr>
      <xdr:spPr bwMode="auto">
        <a:xfrm>
          <a:off x="8483600" y="92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igalindo/Downloads/350-RetencionenlaFuente.xlsx" TargetMode="External"/><Relationship Id="rId1" Type="http://schemas.openxmlformats.org/officeDocument/2006/relationships/externalLinkPath" Target="/Users/igalindo/Downloads/350-RetencionenlaFuen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BACK/IMPUESTOS/2015/RENTA/PROVISION%20DE%20IMPUESTOS/PROVISION%20RENTA%20Y%20CREE%20-%20ENERO.xls" TargetMode="External"/><Relationship Id="rId1" Type="http://schemas.openxmlformats.org/officeDocument/2006/relationships/externalLinkPath" Target="/DOCBACK/IMPUESTOS/2015/RENTA/PROVISION%20DE%20IMPUESTOS/PROVISION%20RENTA%20Y%20CREE%20-%20ENERO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EMPRESAS/DSAB/2_Clientes%20empresas/BUSINESS%20INTEGRITY%20SERVICES%20COLOMBIA%20S.A.S/06-Impuestos/01-Retenci&#243;n%20en%20la%20fuente/2022/05.%20Mayo/5-4-2022%20Ma%20Claudia%20Buendia%20Rete%20Fte%20Procedimiento%201_%20BIS.xlsx" TargetMode="External"/><Relationship Id="rId2" Type="http://schemas.microsoft.com/office/2019/04/relationships/externalLinkLongPath" Target="/EMPRESAS/DSAB/2_Clientes%20empresas/BUSINESS%20INTEGRITY%20SERVICES%20COLOMBIA%20S.A.S/06-Impuestos/01-Retenci&#243;n%20en%20la%20fuente/2022/05.%20Mayo/5-4-2022%20Ma%20Claudia%20Buendia%20Rete%20Fte%20Procedimiento%201_%20BIS.xlsx?9EF4D138" TargetMode="External"/><Relationship Id="rId1" Type="http://schemas.openxmlformats.org/officeDocument/2006/relationships/externalLinkPath" Target="file:///\\9EF4D138\5-4-2022%20Ma%20Claudia%20Buendia%20Rete%20Fte%20Procedimiento%201_%20B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ROS"/>
      <sheetName val="RETEFUENTE"/>
      <sheetName val="DETALLE"/>
      <sheetName val="AYUDA"/>
      <sheetName val="IMPRIMIR"/>
    </sheetNames>
    <sheetDataSet>
      <sheetData sheetId="0">
        <row r="13">
          <cell r="E13" t="str">
            <v>02</v>
          </cell>
        </row>
        <row r="17">
          <cell r="E17">
            <v>811052052</v>
          </cell>
          <cell r="I17" t="str">
            <v>8</v>
          </cell>
        </row>
        <row r="22">
          <cell r="L22">
            <v>2</v>
          </cell>
        </row>
        <row r="27">
          <cell r="E27" t="str">
            <v>LOPEZ</v>
          </cell>
          <cell r="I27" t="str">
            <v>ALVAREZ</v>
          </cell>
        </row>
        <row r="29">
          <cell r="E29" t="str">
            <v>JUAN</v>
          </cell>
        </row>
        <row r="31">
          <cell r="E31" t="str">
            <v>Distribuidora Naturista de Colombia S.A.</v>
          </cell>
        </row>
        <row r="33">
          <cell r="M33">
            <v>32</v>
          </cell>
        </row>
        <row r="40">
          <cell r="E40"/>
        </row>
        <row r="55">
          <cell r="E55" t="str">
            <v>10082794</v>
          </cell>
          <cell r="I55" t="str">
            <v>7</v>
          </cell>
        </row>
        <row r="57">
          <cell r="E57"/>
        </row>
        <row r="59">
          <cell r="I59"/>
        </row>
        <row r="71">
          <cell r="K71" t="str">
            <v>NO</v>
          </cell>
        </row>
        <row r="73">
          <cell r="G73">
            <v>1</v>
          </cell>
        </row>
        <row r="74">
          <cell r="E74" t="str">
            <v>9999-T</v>
          </cell>
        </row>
        <row r="76">
          <cell r="K76" t="str">
            <v>18</v>
          </cell>
        </row>
        <row r="83">
          <cell r="C83" t="str">
            <v>Rentas de trabajo</v>
          </cell>
        </row>
        <row r="87">
          <cell r="C87" t="str">
            <v>Rentas de pensiones</v>
          </cell>
        </row>
        <row r="90">
          <cell r="T90">
            <v>0</v>
          </cell>
        </row>
        <row r="91">
          <cell r="C91" t="str">
            <v>Honorarios</v>
          </cell>
        </row>
        <row r="94">
          <cell r="T94">
            <v>0</v>
          </cell>
        </row>
        <row r="95">
          <cell r="C95" t="str">
            <v>Comisiones</v>
          </cell>
        </row>
        <row r="98">
          <cell r="T98">
            <v>0</v>
          </cell>
        </row>
        <row r="99">
          <cell r="C99" t="str">
            <v>Servicios</v>
          </cell>
        </row>
        <row r="102">
          <cell r="T102">
            <v>0</v>
          </cell>
        </row>
        <row r="103">
          <cell r="C103" t="str">
            <v>Rendimientos financieros e intereses</v>
          </cell>
        </row>
        <row r="106">
          <cell r="T106">
            <v>0</v>
          </cell>
        </row>
        <row r="107">
          <cell r="C107" t="str">
            <v>Arrendamientos (Muebles e inmuebles)</v>
          </cell>
        </row>
        <row r="110">
          <cell r="T110">
            <v>0</v>
          </cell>
        </row>
        <row r="111">
          <cell r="C111" t="str">
            <v>Regalias y explotación de la propiedad intelectual</v>
          </cell>
        </row>
        <row r="114">
          <cell r="T114">
            <v>0</v>
          </cell>
        </row>
        <row r="115">
          <cell r="C115" t="str">
            <v>Dividendos y participaciones</v>
          </cell>
        </row>
        <row r="118">
          <cell r="T118">
            <v>0</v>
          </cell>
        </row>
        <row r="119">
          <cell r="C119" t="str">
            <v>Compras</v>
          </cell>
        </row>
        <row r="122">
          <cell r="T122">
            <v>0</v>
          </cell>
        </row>
        <row r="123">
          <cell r="C123" t="str">
            <v>Transacciones con tarjetas débito y crédito</v>
          </cell>
        </row>
        <row r="126">
          <cell r="T126">
            <v>0</v>
          </cell>
        </row>
        <row r="127">
          <cell r="C127" t="str">
            <v>Contratos de Construcción</v>
          </cell>
        </row>
        <row r="130">
          <cell r="T130">
            <v>0</v>
          </cell>
        </row>
        <row r="131">
          <cell r="C131" t="str">
            <v>Enajenación de activos fijos de personas naturales ante notarios y autoridades de tránsito</v>
          </cell>
        </row>
        <row r="134">
          <cell r="T134">
            <v>0</v>
          </cell>
        </row>
        <row r="135">
          <cell r="C135" t="str">
            <v>Loterias, rifas apuestas y similares</v>
          </cell>
        </row>
        <row r="138">
          <cell r="T138">
            <v>0</v>
          </cell>
        </row>
        <row r="139">
          <cell r="C139" t="str">
            <v>Otros pagos sujetos a retención</v>
          </cell>
        </row>
        <row r="142">
          <cell r="T142">
            <v>0</v>
          </cell>
        </row>
        <row r="148">
          <cell r="C148" t="str">
            <v>Contribuyentes exonerados de aportes  (Art. 114 -1  E.T.)</v>
          </cell>
        </row>
        <row r="151">
          <cell r="T151">
            <v>0</v>
          </cell>
        </row>
        <row r="152">
          <cell r="C152" t="str">
            <v>Ventas</v>
          </cell>
        </row>
        <row r="155">
          <cell r="T155">
            <v>0</v>
          </cell>
        </row>
        <row r="156">
          <cell r="C156" t="str">
            <v>Honorarios</v>
          </cell>
        </row>
        <row r="159">
          <cell r="T159">
            <v>0</v>
          </cell>
        </row>
        <row r="160">
          <cell r="C160" t="str">
            <v>Comisiones</v>
          </cell>
        </row>
        <row r="163">
          <cell r="T163">
            <v>0</v>
          </cell>
        </row>
        <row r="164">
          <cell r="C164" t="str">
            <v>Servicios</v>
          </cell>
        </row>
        <row r="167">
          <cell r="T167">
            <v>0</v>
          </cell>
        </row>
        <row r="168">
          <cell r="C168" t="str">
            <v>Rendimientos financieros</v>
          </cell>
        </row>
        <row r="171">
          <cell r="T171">
            <v>0</v>
          </cell>
        </row>
        <row r="172">
          <cell r="C172" t="str">
            <v>Otros conceptos</v>
          </cell>
        </row>
        <row r="175">
          <cell r="T175">
            <v>0</v>
          </cell>
        </row>
        <row r="176">
          <cell r="C176" t="str">
            <v>Pagos o abonos en cuenta al exterior a paises sin convenio</v>
          </cell>
        </row>
        <row r="179">
          <cell r="T179">
            <v>0</v>
          </cell>
        </row>
        <row r="180">
          <cell r="C180" t="str">
            <v>Pagos o abonos en cuenta al exterior a paises con convenio vigente</v>
          </cell>
        </row>
        <row r="183">
          <cell r="T183">
            <v>0</v>
          </cell>
        </row>
        <row r="187">
          <cell r="T187">
            <v>0</v>
          </cell>
        </row>
        <row r="191">
          <cell r="T191">
            <v>0</v>
          </cell>
        </row>
        <row r="195">
          <cell r="T195">
            <v>0</v>
          </cell>
        </row>
        <row r="199">
          <cell r="T199">
            <v>0</v>
          </cell>
        </row>
        <row r="203">
          <cell r="T203">
            <v>0</v>
          </cell>
        </row>
        <row r="207">
          <cell r="T207">
            <v>0</v>
          </cell>
        </row>
        <row r="215">
          <cell r="T215">
            <v>0</v>
          </cell>
        </row>
        <row r="219">
          <cell r="T219">
            <v>0</v>
          </cell>
        </row>
        <row r="223">
          <cell r="T223">
            <v>0</v>
          </cell>
        </row>
        <row r="227">
          <cell r="T227">
            <v>0</v>
          </cell>
        </row>
        <row r="231">
          <cell r="T231">
            <v>0</v>
          </cell>
        </row>
        <row r="235">
          <cell r="T235">
            <v>0</v>
          </cell>
        </row>
        <row r="239">
          <cell r="T239">
            <v>0</v>
          </cell>
        </row>
        <row r="243">
          <cell r="T243">
            <v>0</v>
          </cell>
        </row>
        <row r="247">
          <cell r="T247">
            <v>0</v>
          </cell>
        </row>
        <row r="251">
          <cell r="T251">
            <v>0</v>
          </cell>
        </row>
        <row r="255">
          <cell r="T255">
            <v>0</v>
          </cell>
        </row>
        <row r="259">
          <cell r="T259">
            <v>0</v>
          </cell>
        </row>
        <row r="267">
          <cell r="T267">
            <v>0</v>
          </cell>
        </row>
        <row r="271">
          <cell r="T271">
            <v>0</v>
          </cell>
        </row>
        <row r="275">
          <cell r="T275">
            <v>0</v>
          </cell>
        </row>
        <row r="279">
          <cell r="T279">
            <v>0</v>
          </cell>
        </row>
        <row r="283">
          <cell r="T283">
            <v>0</v>
          </cell>
        </row>
        <row r="287">
          <cell r="T287">
            <v>0</v>
          </cell>
        </row>
        <row r="288">
          <cell r="C288" t="str">
            <v>Menos. Retenciones practicadas en exceso o indebidas o por operaciones anuladas, rescindidas o resueltas</v>
          </cell>
        </row>
        <row r="291">
          <cell r="T291">
            <v>0</v>
          </cell>
        </row>
        <row r="292">
          <cell r="C292" t="str">
            <v>Total retenciones renta y complementarios                            (Sume 51 a 74 y reste 75)</v>
          </cell>
          <cell r="T292">
            <v>0</v>
          </cell>
        </row>
        <row r="298">
          <cell r="C298" t="str">
            <v>A responsables de régimen  común</v>
          </cell>
        </row>
        <row r="301">
          <cell r="T301">
            <v>0</v>
          </cell>
        </row>
        <row r="302">
          <cell r="C302" t="str">
            <v>Practicadas por servicios a no residentes o no domiciliados</v>
          </cell>
        </row>
        <row r="305">
          <cell r="T305">
            <v>0</v>
          </cell>
        </row>
        <row r="306">
          <cell r="C306" t="str">
            <v>Menos. Retenciones practicadas en exceso o indebidas o por operaciones anuladas, rescindidas o resueltas</v>
          </cell>
        </row>
        <row r="309">
          <cell r="T309">
            <v>0</v>
          </cell>
        </row>
        <row r="310">
          <cell r="C310" t="str">
            <v>Total retenciones del I.V.A. (Sume 77 a 78 y reste 79)</v>
          </cell>
        </row>
        <row r="311">
          <cell r="C311" t="str">
            <v>Retenciones Impuesto de timbre nacional</v>
          </cell>
        </row>
        <row r="314">
          <cell r="T314">
            <v>0</v>
          </cell>
        </row>
        <row r="315">
          <cell r="C315" t="str">
            <v>Total Retenciones (76 + 80 + 81)</v>
          </cell>
          <cell r="T315">
            <v>0</v>
          </cell>
        </row>
        <row r="316">
          <cell r="C316" t="str">
            <v>Mas: Sanciones</v>
          </cell>
        </row>
        <row r="319">
          <cell r="T319">
            <v>0</v>
          </cell>
        </row>
        <row r="320">
          <cell r="C320" t="str">
            <v>Total retenciones más sanciones (82 + 83)</v>
          </cell>
          <cell r="T320">
            <v>0</v>
          </cell>
        </row>
        <row r="322">
          <cell r="T322">
            <v>0</v>
          </cell>
        </row>
        <row r="331">
          <cell r="K331">
            <v>2018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ú"/>
      <sheetName val="Catalog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  <sheetName val="Balance"/>
      <sheetName val="Hoja2"/>
      <sheetName val="Listas"/>
      <sheetName val="Datos"/>
      <sheetName val="Prueba"/>
      <sheetName val="Extracción"/>
      <sheetName val="Renta presuntiva"/>
      <sheetName val="Conciliacion de la renta"/>
      <sheetName val="Formulario"/>
      <sheetName val="Formulario Final"/>
      <sheetName val="Anticipos de Impuesto"/>
      <sheetName val="Provisión Cartera"/>
      <sheetName val="Descuento Tributario - BC"/>
      <sheetName val="Compensaciones"/>
      <sheetName val="Intereses presuntos"/>
      <sheetName val="Autorretenciones Renta"/>
      <sheetName val="Autorretenciones CREE"/>
      <sheetName val="Retenciones en la Fuente"/>
      <sheetName val="Análisis prov. renta contable"/>
      <sheetName val="Grafico - Impue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B3" t="str">
            <v>Efectivo, bancos, cuentas de ahorro, otras inversiones</v>
          </cell>
        </row>
        <row r="4">
          <cell r="B4" t="str">
            <v>Cuentas por cobrar</v>
          </cell>
        </row>
        <row r="5">
          <cell r="B5" t="str">
            <v>Acciones y aportes</v>
          </cell>
        </row>
        <row r="6">
          <cell r="B6" t="str">
            <v>Inventarios</v>
          </cell>
        </row>
        <row r="7">
          <cell r="B7" t="str">
            <v>Activos fijos</v>
          </cell>
        </row>
        <row r="8">
          <cell r="B8" t="str">
            <v>Otros activos</v>
          </cell>
        </row>
        <row r="9">
          <cell r="B9" t="str">
            <v>Pasivos</v>
          </cell>
        </row>
        <row r="10">
          <cell r="B10" t="str">
            <v>Ingresos brutos operacionales</v>
          </cell>
        </row>
        <row r="11">
          <cell r="B11" t="str">
            <v>Ingresos brutos no operacionales</v>
          </cell>
        </row>
        <row r="12">
          <cell r="B12" t="str">
            <v>Intereses y rendimientos financieros</v>
          </cell>
        </row>
        <row r="13">
          <cell r="B13" t="str">
            <v>Devoluciones, rebajas y descuentos en ventas</v>
          </cell>
        </row>
        <row r="14">
          <cell r="B14" t="str">
            <v>Ingresos no constitutivos de renta</v>
          </cell>
        </row>
        <row r="15">
          <cell r="B15" t="str">
            <v>Costo de ventas</v>
          </cell>
        </row>
        <row r="16">
          <cell r="B16" t="str">
            <v>Otros costos</v>
          </cell>
        </row>
        <row r="17">
          <cell r="B17" t="str">
            <v>Gastos operacionales de administración</v>
          </cell>
        </row>
        <row r="18">
          <cell r="B18" t="str">
            <v>Gastos operacionales de ventas</v>
          </cell>
        </row>
        <row r="19">
          <cell r="B19" t="str">
            <v>Deduccion inversiones en activos fijos</v>
          </cell>
        </row>
        <row r="20">
          <cell r="B20" t="str">
            <v>Otras deducciones</v>
          </cell>
        </row>
        <row r="21">
          <cell r="B21" t="str">
            <v>Rentas gravables</v>
          </cell>
        </row>
        <row r="22">
          <cell r="B22" t="str">
            <v>Compensaciones</v>
          </cell>
        </row>
        <row r="23">
          <cell r="B23" t="str">
            <v>Renta exenta</v>
          </cell>
        </row>
        <row r="24">
          <cell r="B24" t="str">
            <v>Ingresos por ganancias ocasionales</v>
          </cell>
        </row>
        <row r="25">
          <cell r="B25" t="str">
            <v>Costos y deducciones por ganancias ocasionales</v>
          </cell>
        </row>
        <row r="26">
          <cell r="B26" t="str">
            <v>Ganancias ocasionales no gravadas o exentas</v>
          </cell>
        </row>
        <row r="27">
          <cell r="B27" t="str">
            <v>Descuentos tributarios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B1" t="str">
            <v>Primera Vez</v>
          </cell>
        </row>
        <row r="2">
          <cell r="B2" t="str">
            <v>Segunda Vez</v>
          </cell>
        </row>
        <row r="3">
          <cell r="B3" t="str">
            <v>Tres o más veces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rt. 383"/>
      <sheetName val="Art. 383 Prest Servicios"/>
      <sheetName val="Art. 383 Nomina Mayo"/>
    </sheetNames>
    <sheetDataSet>
      <sheetData sheetId="0">
        <row r="6">
          <cell r="F6">
            <v>38004</v>
          </cell>
        </row>
        <row r="7">
          <cell r="M7">
            <v>21151200</v>
          </cell>
        </row>
        <row r="46">
          <cell r="E46">
            <v>368.15</v>
          </cell>
        </row>
        <row r="52">
          <cell r="B52">
            <v>95</v>
          </cell>
        </row>
        <row r="53">
          <cell r="B53">
            <v>150</v>
          </cell>
        </row>
        <row r="54">
          <cell r="B54">
            <v>360</v>
          </cell>
        </row>
        <row r="55">
          <cell r="B55">
            <v>640</v>
          </cell>
        </row>
        <row r="56">
          <cell r="B56">
            <v>945</v>
          </cell>
        </row>
        <row r="57">
          <cell r="B57">
            <v>2300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6972-A13B-49E5-88AB-6E884AE43728}">
  <dimension ref="B1:J28"/>
  <sheetViews>
    <sheetView showGridLines="0" topLeftCell="A13" zoomScale="110" zoomScaleNormal="110" workbookViewId="0">
      <selection activeCell="C19" sqref="C19:D19"/>
    </sheetView>
  </sheetViews>
  <sheetFormatPr baseColWidth="10" defaultRowHeight="14.6"/>
  <cols>
    <col min="1" max="1" width="4.69140625" customWidth="1"/>
    <col min="2" max="2" width="3.3046875" customWidth="1"/>
    <col min="3" max="3" width="33.53515625" customWidth="1"/>
    <col min="4" max="4" width="37.69140625" customWidth="1"/>
    <col min="6" max="6" width="17.07421875" customWidth="1"/>
    <col min="7" max="7" width="15.23046875" customWidth="1"/>
  </cols>
  <sheetData>
    <row r="1" spans="2:10">
      <c r="C1" s="250" t="s">
        <v>45</v>
      </c>
      <c r="D1" s="250"/>
      <c r="E1" s="250"/>
      <c r="F1" s="250"/>
      <c r="G1" s="250"/>
      <c r="H1" s="250"/>
      <c r="I1" s="250"/>
      <c r="J1" s="250"/>
    </row>
    <row r="2" spans="2:10">
      <c r="C2" s="46" t="s">
        <v>46</v>
      </c>
      <c r="D2" s="251" t="s">
        <v>520</v>
      </c>
      <c r="E2" s="251"/>
      <c r="F2" s="251"/>
      <c r="G2" s="251"/>
      <c r="H2" s="252"/>
      <c r="I2" s="252"/>
      <c r="J2" s="252"/>
    </row>
    <row r="3" spans="2:10">
      <c r="C3" s="46" t="s">
        <v>47</v>
      </c>
      <c r="D3" s="251" t="s">
        <v>521</v>
      </c>
      <c r="E3" s="251"/>
      <c r="F3" s="251"/>
      <c r="G3" s="251"/>
      <c r="H3" s="252"/>
      <c r="I3" s="252"/>
      <c r="J3" s="252"/>
    </row>
    <row r="4" spans="2:10">
      <c r="C4" s="46" t="s">
        <v>48</v>
      </c>
      <c r="D4" s="251" t="s">
        <v>522</v>
      </c>
      <c r="E4" s="251"/>
      <c r="F4" s="251"/>
      <c r="G4" s="251"/>
      <c r="H4" s="252"/>
      <c r="I4" s="252"/>
      <c r="J4" s="252"/>
    </row>
    <row r="5" spans="2:10">
      <c r="C5" s="46" t="s">
        <v>49</v>
      </c>
      <c r="D5" s="253">
        <v>46248</v>
      </c>
      <c r="E5" s="253"/>
      <c r="F5" s="253"/>
      <c r="G5" s="253"/>
      <c r="H5" s="252"/>
      <c r="I5" s="252"/>
      <c r="J5" s="252"/>
    </row>
    <row r="6" spans="2:10">
      <c r="C6" s="46" t="s">
        <v>50</v>
      </c>
      <c r="D6" s="251" t="s">
        <v>527</v>
      </c>
      <c r="E6" s="251"/>
      <c r="F6" s="251"/>
      <c r="G6" s="251"/>
      <c r="H6" s="252"/>
      <c r="I6" s="252"/>
      <c r="J6" s="252"/>
    </row>
    <row r="7" spans="2:10">
      <c r="C7" s="46" t="s">
        <v>51</v>
      </c>
      <c r="D7" s="251" t="s">
        <v>523</v>
      </c>
      <c r="E7" s="251"/>
      <c r="F7" s="251"/>
      <c r="G7" s="251"/>
      <c r="H7" s="252"/>
      <c r="I7" s="252"/>
      <c r="J7" s="252"/>
    </row>
    <row r="8" spans="2:10">
      <c r="C8" s="46" t="s">
        <v>52</v>
      </c>
      <c r="D8" s="251" t="s">
        <v>524</v>
      </c>
      <c r="E8" s="251"/>
      <c r="F8" s="251"/>
      <c r="G8" s="251"/>
      <c r="H8" s="252"/>
      <c r="I8" s="252"/>
      <c r="J8" s="252"/>
    </row>
    <row r="9" spans="2:10">
      <c r="C9" s="46" t="s">
        <v>53</v>
      </c>
      <c r="D9" s="251" t="s">
        <v>54</v>
      </c>
      <c r="E9" s="251"/>
      <c r="F9" s="251"/>
      <c r="G9" s="251"/>
      <c r="H9" s="252"/>
      <c r="I9" s="252"/>
      <c r="J9" s="252"/>
    </row>
    <row r="10" spans="2:10">
      <c r="C10" s="46" t="s">
        <v>55</v>
      </c>
      <c r="D10" s="251" t="s">
        <v>93</v>
      </c>
      <c r="E10" s="251"/>
      <c r="F10" s="47" t="s">
        <v>56</v>
      </c>
      <c r="G10" s="48">
        <v>46247</v>
      </c>
      <c r="H10" s="252"/>
      <c r="I10" s="252"/>
      <c r="J10" s="252"/>
    </row>
    <row r="11" spans="2:10">
      <c r="C11" s="46" t="s">
        <v>57</v>
      </c>
      <c r="D11" s="154" t="s">
        <v>525</v>
      </c>
      <c r="E11" s="77"/>
      <c r="F11" s="47" t="s">
        <v>56</v>
      </c>
      <c r="G11" s="48">
        <v>46248</v>
      </c>
      <c r="H11" s="252"/>
      <c r="I11" s="252"/>
      <c r="J11" s="252"/>
    </row>
    <row r="12" spans="2:10">
      <c r="C12" s="46" t="s">
        <v>69</v>
      </c>
      <c r="D12" s="254"/>
      <c r="E12" s="255"/>
      <c r="F12" s="47" t="s">
        <v>56</v>
      </c>
      <c r="G12" s="49"/>
      <c r="H12" s="256" t="s">
        <v>526</v>
      </c>
      <c r="I12" s="256"/>
      <c r="J12" s="256"/>
    </row>
    <row r="13" spans="2:10">
      <c r="C13" s="50"/>
      <c r="D13" s="51"/>
      <c r="E13" s="51"/>
      <c r="F13" s="52"/>
      <c r="G13" s="53"/>
      <c r="H13" s="54"/>
      <c r="I13" s="54"/>
      <c r="J13" s="54"/>
    </row>
    <row r="15" spans="2:10" ht="15" thickBot="1"/>
    <row r="16" spans="2:10">
      <c r="B16" s="257" t="s">
        <v>58</v>
      </c>
      <c r="C16" s="258"/>
      <c r="D16" s="258"/>
      <c r="E16" s="259"/>
      <c r="F16" s="45"/>
      <c r="G16" s="45"/>
    </row>
    <row r="17" spans="2:7">
      <c r="B17" s="247" t="s">
        <v>68</v>
      </c>
      <c r="C17" s="248"/>
      <c r="D17" s="248"/>
      <c r="E17" s="249"/>
      <c r="F17" s="45"/>
      <c r="G17" s="45"/>
    </row>
    <row r="18" spans="2:7">
      <c r="B18" s="55">
        <v>1</v>
      </c>
      <c r="C18" s="261" t="s">
        <v>59</v>
      </c>
      <c r="D18" s="261"/>
      <c r="E18" s="56" t="s">
        <v>60</v>
      </c>
    </row>
    <row r="19" spans="2:7">
      <c r="B19" s="55">
        <v>2</v>
      </c>
      <c r="C19" s="261" t="s">
        <v>61</v>
      </c>
      <c r="D19" s="261"/>
      <c r="E19" s="56"/>
    </row>
    <row r="20" spans="2:7">
      <c r="B20" s="55">
        <v>3</v>
      </c>
      <c r="C20" s="261" t="s">
        <v>62</v>
      </c>
      <c r="D20" s="261"/>
      <c r="E20" s="56" t="s">
        <v>86</v>
      </c>
    </row>
    <row r="21" spans="2:7" ht="27.65" customHeight="1">
      <c r="B21" s="55">
        <v>4</v>
      </c>
      <c r="C21" s="261" t="s">
        <v>63</v>
      </c>
      <c r="D21" s="261"/>
      <c r="E21" s="56" t="s">
        <v>86</v>
      </c>
    </row>
    <row r="22" spans="2:7">
      <c r="B22" s="55">
        <v>5</v>
      </c>
      <c r="C22" s="261" t="s">
        <v>64</v>
      </c>
      <c r="D22" s="261"/>
      <c r="E22" s="56" t="s">
        <v>60</v>
      </c>
    </row>
    <row r="23" spans="2:7">
      <c r="B23" s="55">
        <v>6</v>
      </c>
      <c r="C23" s="261" t="s">
        <v>65</v>
      </c>
      <c r="D23" s="261"/>
      <c r="E23" s="56" t="s">
        <v>86</v>
      </c>
    </row>
    <row r="24" spans="2:7">
      <c r="B24" s="55">
        <v>7</v>
      </c>
      <c r="C24" s="72" t="s">
        <v>87</v>
      </c>
      <c r="D24" s="72"/>
      <c r="E24" s="56" t="s">
        <v>86</v>
      </c>
    </row>
    <row r="25" spans="2:7" ht="15" thickBot="1">
      <c r="B25" s="57">
        <v>8</v>
      </c>
      <c r="C25" s="260" t="s">
        <v>66</v>
      </c>
      <c r="D25" s="260"/>
      <c r="E25" s="58" t="s">
        <v>67</v>
      </c>
    </row>
    <row r="28" spans="2:7">
      <c r="C28" t="s">
        <v>530</v>
      </c>
    </row>
  </sheetData>
  <mergeCells count="22">
    <mergeCell ref="C25:D25"/>
    <mergeCell ref="C18:D18"/>
    <mergeCell ref="C19:D19"/>
    <mergeCell ref="C20:D20"/>
    <mergeCell ref="C21:D21"/>
    <mergeCell ref="C22:D22"/>
    <mergeCell ref="C23:D23"/>
    <mergeCell ref="B17:E17"/>
    <mergeCell ref="C1:J1"/>
    <mergeCell ref="D2:G2"/>
    <mergeCell ref="H2:J11"/>
    <mergeCell ref="D3:G3"/>
    <mergeCell ref="D4:G4"/>
    <mergeCell ref="D5:G5"/>
    <mergeCell ref="D6:G6"/>
    <mergeCell ref="D7:G7"/>
    <mergeCell ref="D8:G8"/>
    <mergeCell ref="D9:G9"/>
    <mergeCell ref="D10:E10"/>
    <mergeCell ref="D12:E12"/>
    <mergeCell ref="H12:J12"/>
    <mergeCell ref="B16:E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5C7E-7DE5-43CA-B230-352B871652FC}">
  <sheetPr>
    <tabColor rgb="FF00B0F0"/>
  </sheetPr>
  <dimension ref="I1:L22"/>
  <sheetViews>
    <sheetView tabSelected="1" zoomScale="129" zoomScaleNormal="80" workbookViewId="0">
      <selection activeCell="I11" sqref="I11"/>
    </sheetView>
  </sheetViews>
  <sheetFormatPr baseColWidth="10" defaultRowHeight="14.6"/>
  <cols>
    <col min="8" max="8" width="3.4609375" customWidth="1"/>
    <col min="9" max="9" width="23.23046875" bestFit="1" customWidth="1"/>
    <col min="10" max="10" width="7.07421875" bestFit="1" customWidth="1"/>
    <col min="11" max="11" width="14.84375" bestFit="1" customWidth="1"/>
    <col min="12" max="12" width="10.07421875" bestFit="1" customWidth="1"/>
  </cols>
  <sheetData>
    <row r="1" spans="9:12">
      <c r="I1" s="10"/>
    </row>
    <row r="2" spans="9:12">
      <c r="I2" s="36" t="s">
        <v>531</v>
      </c>
      <c r="J2" s="37" t="s">
        <v>532</v>
      </c>
      <c r="K2" s="37" t="s">
        <v>533</v>
      </c>
      <c r="L2" s="37" t="s">
        <v>534</v>
      </c>
    </row>
    <row r="3" spans="9:12">
      <c r="I3" s="10">
        <v>9609</v>
      </c>
      <c r="J3" s="206">
        <v>7.0000000000000001E-3</v>
      </c>
      <c r="K3" s="207">
        <v>188000</v>
      </c>
      <c r="L3" s="207">
        <v>1000</v>
      </c>
    </row>
    <row r="4" spans="9:12">
      <c r="I4" s="10">
        <v>7490</v>
      </c>
      <c r="J4" s="206">
        <v>7.0000000000000001E-3</v>
      </c>
      <c r="K4" s="207">
        <v>5000000</v>
      </c>
      <c r="L4" s="207">
        <f t="shared" ref="L4" si="0">K4*J4</f>
        <v>35000</v>
      </c>
    </row>
    <row r="5" spans="9:12">
      <c r="I5" s="10">
        <v>4669</v>
      </c>
      <c r="J5" s="205">
        <v>0.1</v>
      </c>
      <c r="K5" s="207">
        <v>3743000</v>
      </c>
      <c r="L5" s="207">
        <v>37000</v>
      </c>
    </row>
    <row r="6" spans="9:12">
      <c r="I6" s="10">
        <v>5224</v>
      </c>
      <c r="J6" s="205">
        <v>0.1</v>
      </c>
      <c r="K6" s="207">
        <v>38966000</v>
      </c>
      <c r="L6" s="207">
        <v>390000</v>
      </c>
    </row>
    <row r="7" spans="9:12">
      <c r="I7" s="10">
        <v>9903</v>
      </c>
      <c r="J7" s="205">
        <v>0.1</v>
      </c>
      <c r="K7" s="207">
        <v>1116000</v>
      </c>
      <c r="L7" s="207">
        <v>11000</v>
      </c>
    </row>
    <row r="8" spans="9:12">
      <c r="I8" s="10"/>
      <c r="J8" s="10"/>
      <c r="K8" s="209">
        <f>SUM(K3:K7)</f>
        <v>49013000</v>
      </c>
      <c r="L8" s="208">
        <f>SUM(L3:L7)</f>
        <v>474000</v>
      </c>
    </row>
    <row r="9" spans="9:12">
      <c r="I9" s="10"/>
      <c r="J9" s="10"/>
    </row>
    <row r="10" spans="9:12">
      <c r="I10" s="10"/>
      <c r="J10" s="10"/>
    </row>
    <row r="11" spans="9:12">
      <c r="I11" s="10"/>
      <c r="J11" s="10"/>
    </row>
    <row r="12" spans="9:12">
      <c r="I12" s="10"/>
      <c r="J12" s="10"/>
    </row>
    <row r="13" spans="9:12">
      <c r="I13" s="10"/>
      <c r="J13" s="10"/>
      <c r="K13" s="74"/>
      <c r="L13" s="74"/>
    </row>
    <row r="14" spans="9:12">
      <c r="I14" s="10"/>
      <c r="J14" s="35"/>
    </row>
    <row r="15" spans="9:12">
      <c r="I15" s="12"/>
      <c r="J15" s="35"/>
    </row>
    <row r="16" spans="9:12">
      <c r="J16" s="35"/>
    </row>
    <row r="17" spans="10:10">
      <c r="J17" s="35"/>
    </row>
    <row r="18" spans="10:10">
      <c r="J18" s="35"/>
    </row>
    <row r="19" spans="10:10">
      <c r="J19" s="35"/>
    </row>
    <row r="20" spans="10:10">
      <c r="J20" s="35"/>
    </row>
    <row r="21" spans="10:10">
      <c r="J21" s="35"/>
    </row>
    <row r="22" spans="10:10">
      <c r="J22" s="3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A092-FAB7-40DD-A599-23EB20B706DF}">
  <sheetPr>
    <tabColor rgb="FFFF0000"/>
  </sheetPr>
  <dimension ref="A1"/>
  <sheetViews>
    <sheetView showGridLines="0" topLeftCell="A7" workbookViewId="0">
      <selection activeCell="Q4" sqref="Q4"/>
    </sheetView>
  </sheetViews>
  <sheetFormatPr baseColWidth="10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6858-4182-430C-97A9-22D57C945F18}">
  <sheetPr>
    <tabColor rgb="FF00B0F0"/>
  </sheetPr>
  <dimension ref="A1:R433"/>
  <sheetViews>
    <sheetView showGridLines="0" zoomScale="80" zoomScaleNormal="80" workbookViewId="0">
      <selection activeCell="D20" sqref="D20:I20"/>
    </sheetView>
  </sheetViews>
  <sheetFormatPr baseColWidth="10" defaultColWidth="11.4609375" defaultRowHeight="12.45"/>
  <cols>
    <col min="1" max="1" width="3.84375" style="1" bestFit="1" customWidth="1"/>
    <col min="2" max="2" width="57.3046875" style="1" bestFit="1" customWidth="1"/>
    <col min="3" max="3" width="6.3046875" style="1" bestFit="1" customWidth="1"/>
    <col min="4" max="4" width="24.69140625" style="1" bestFit="1" customWidth="1"/>
    <col min="5" max="5" width="7.53515625" style="1" bestFit="1" customWidth="1"/>
    <col min="6" max="6" width="10.07421875" style="1" bestFit="1" customWidth="1"/>
    <col min="7" max="7" width="7.53515625" style="1" bestFit="1" customWidth="1"/>
    <col min="8" max="8" width="10.07421875" style="1" bestFit="1" customWidth="1"/>
    <col min="9" max="9" width="8.23046875" style="11" bestFit="1" customWidth="1"/>
    <col min="10" max="10" width="11.4609375" style="1" bestFit="1" customWidth="1"/>
    <col min="11" max="11" width="11" style="1" bestFit="1" customWidth="1"/>
    <col min="12" max="12" width="18.23046875" style="1" bestFit="1" customWidth="1"/>
    <col min="13" max="13" width="16.53515625" style="1" bestFit="1" customWidth="1"/>
    <col min="14" max="14" width="11.3046875" style="1" bestFit="1" customWidth="1"/>
    <col min="15" max="15" width="11.4609375" style="1" bestFit="1" customWidth="1"/>
    <col min="16" max="16384" width="11.4609375" style="1"/>
  </cols>
  <sheetData>
    <row r="1" spans="1:18">
      <c r="B1" s="155" t="s">
        <v>0</v>
      </c>
      <c r="C1" s="156"/>
      <c r="D1" s="262" t="s">
        <v>520</v>
      </c>
      <c r="E1" s="262"/>
      <c r="F1" s="262"/>
      <c r="G1" s="262"/>
      <c r="H1" s="262"/>
    </row>
    <row r="2" spans="1:18">
      <c r="B2" s="155" t="s">
        <v>1</v>
      </c>
      <c r="C2" s="156"/>
      <c r="D2" s="262" t="s">
        <v>10</v>
      </c>
      <c r="E2" s="262"/>
      <c r="F2" s="262"/>
      <c r="G2" s="262"/>
      <c r="H2" s="262"/>
    </row>
    <row r="3" spans="1:18">
      <c r="B3" s="155" t="s">
        <v>11</v>
      </c>
      <c r="C3" s="156"/>
      <c r="D3" s="262" t="s">
        <v>93</v>
      </c>
      <c r="E3" s="262"/>
      <c r="F3" s="158">
        <v>46247</v>
      </c>
      <c r="G3" s="157"/>
      <c r="H3" s="156"/>
    </row>
    <row r="4" spans="1:18">
      <c r="B4" s="155" t="s">
        <v>12</v>
      </c>
      <c r="C4" s="156"/>
      <c r="D4" s="157" t="s">
        <v>88</v>
      </c>
      <c r="E4" s="157"/>
      <c r="F4" s="158">
        <v>46248</v>
      </c>
      <c r="G4" s="157"/>
      <c r="H4" s="159"/>
    </row>
    <row r="5" spans="1:18">
      <c r="B5" s="155" t="s">
        <v>2</v>
      </c>
      <c r="C5" s="156"/>
      <c r="D5" s="263" t="s">
        <v>523</v>
      </c>
      <c r="E5" s="262"/>
      <c r="F5" s="262"/>
      <c r="G5" s="262"/>
      <c r="H5" s="262"/>
    </row>
    <row r="6" spans="1:18">
      <c r="B6" s="155" t="s">
        <v>9</v>
      </c>
      <c r="C6" s="156"/>
      <c r="D6" s="262" t="s">
        <v>528</v>
      </c>
      <c r="E6" s="262"/>
      <c r="F6" s="262"/>
      <c r="G6" s="262"/>
      <c r="H6" s="262"/>
    </row>
    <row r="7" spans="1:18" ht="12.9" thickBot="1"/>
    <row r="8" spans="1:18" ht="22.5" customHeight="1">
      <c r="A8" s="18"/>
      <c r="B8" s="20" t="s">
        <v>3</v>
      </c>
      <c r="C8" s="21" t="s">
        <v>7</v>
      </c>
      <c r="D8" s="269" t="s">
        <v>4</v>
      </c>
      <c r="E8" s="270"/>
      <c r="F8" s="267" t="s">
        <v>5</v>
      </c>
      <c r="G8" s="268"/>
      <c r="H8" s="271" t="s">
        <v>6</v>
      </c>
      <c r="I8" s="272"/>
      <c r="J8" s="8"/>
    </row>
    <row r="9" spans="1:18" ht="22.5" customHeight="1">
      <c r="A9" s="19"/>
      <c r="B9" s="22" t="s">
        <v>26</v>
      </c>
      <c r="C9" s="214"/>
      <c r="D9" s="14" t="s">
        <v>27</v>
      </c>
      <c r="E9" s="15" t="s">
        <v>28</v>
      </c>
      <c r="F9" s="65" t="s">
        <v>27</v>
      </c>
      <c r="G9" s="66" t="s">
        <v>28</v>
      </c>
      <c r="H9" s="14" t="s">
        <v>36</v>
      </c>
      <c r="I9" s="23" t="s">
        <v>28</v>
      </c>
      <c r="J9" s="8"/>
    </row>
    <row r="10" spans="1:18" ht="22.5" customHeight="1">
      <c r="A10" s="266" t="s">
        <v>20</v>
      </c>
      <c r="B10" s="24" t="s">
        <v>29</v>
      </c>
      <c r="C10" s="212">
        <v>1</v>
      </c>
      <c r="D10" s="17"/>
      <c r="E10" s="17"/>
      <c r="F10" s="17"/>
      <c r="G10" s="17"/>
      <c r="H10" s="5"/>
      <c r="I10" s="25"/>
      <c r="J10" s="9"/>
    </row>
    <row r="11" spans="1:18" ht="22.5" customHeight="1">
      <c r="A11" s="266"/>
      <c r="B11" s="26" t="s">
        <v>30</v>
      </c>
      <c r="C11" s="212">
        <v>2</v>
      </c>
      <c r="D11" s="16"/>
      <c r="E11" s="16"/>
      <c r="F11" s="16"/>
      <c r="G11" s="16"/>
      <c r="H11" s="7"/>
      <c r="I11" s="27"/>
      <c r="J11" s="3"/>
      <c r="K11" s="23" t="s">
        <v>17</v>
      </c>
      <c r="L11" s="23" t="s">
        <v>22</v>
      </c>
      <c r="M11" s="23" t="s">
        <v>91</v>
      </c>
      <c r="N11" s="23" t="s">
        <v>90</v>
      </c>
      <c r="O11" s="23" t="s">
        <v>15</v>
      </c>
    </row>
    <row r="12" spans="1:18" ht="22.5" customHeight="1">
      <c r="A12" s="266"/>
      <c r="B12" s="28" t="s">
        <v>31</v>
      </c>
      <c r="C12" s="212">
        <v>3</v>
      </c>
      <c r="D12" s="16"/>
      <c r="E12" s="16"/>
      <c r="F12" s="16"/>
      <c r="G12" s="16"/>
      <c r="H12" s="4"/>
      <c r="I12" s="29"/>
      <c r="K12">
        <v>2368010007</v>
      </c>
      <c r="L12" t="s">
        <v>109</v>
      </c>
      <c r="M12"/>
      <c r="N12" s="79">
        <f>+BALANCE!I157</f>
        <v>36318</v>
      </c>
      <c r="O12" s="76">
        <f>ROUND(+N12-M12,-3)</f>
        <v>36000</v>
      </c>
    </row>
    <row r="13" spans="1:18" ht="22.5" customHeight="1">
      <c r="A13" s="266"/>
      <c r="B13" s="26" t="s">
        <v>32</v>
      </c>
      <c r="C13" s="212">
        <v>4</v>
      </c>
      <c r="D13" s="16"/>
      <c r="E13" s="16"/>
      <c r="F13" s="16"/>
      <c r="G13" s="16"/>
      <c r="H13" s="6"/>
      <c r="I13" s="30"/>
      <c r="K13">
        <v>2368010010</v>
      </c>
      <c r="L13" t="s">
        <v>121</v>
      </c>
      <c r="M13"/>
      <c r="N13" s="79">
        <f>+BALANCE!I159</f>
        <v>438243</v>
      </c>
      <c r="O13" s="76">
        <f>ROUND(+N13-M13,-3)</f>
        <v>438000</v>
      </c>
      <c r="P13"/>
      <c r="R13" s="79"/>
    </row>
    <row r="14" spans="1:18" ht="22.5" customHeight="1">
      <c r="A14" s="266"/>
      <c r="B14" s="28" t="s">
        <v>33</v>
      </c>
      <c r="C14" s="212">
        <v>5</v>
      </c>
      <c r="D14" s="16"/>
      <c r="E14" s="16"/>
      <c r="F14" s="16"/>
      <c r="G14" s="16"/>
      <c r="H14" s="7"/>
      <c r="I14" s="27"/>
      <c r="N14" s="160">
        <f>SUM(N12:N13)</f>
        <v>474561</v>
      </c>
      <c r="O14" s="161">
        <f>SUM(O12:O13)</f>
        <v>474000</v>
      </c>
      <c r="P14"/>
      <c r="R14" s="79"/>
    </row>
    <row r="15" spans="1:18" ht="22.5" customHeight="1" thickBot="1">
      <c r="A15" s="266"/>
      <c r="B15" s="31" t="s">
        <v>34</v>
      </c>
      <c r="C15" s="212">
        <v>6</v>
      </c>
      <c r="D15" s="16"/>
      <c r="E15" s="16"/>
      <c r="F15" s="16"/>
      <c r="G15" s="16"/>
      <c r="H15" s="7"/>
      <c r="I15" s="27"/>
    </row>
    <row r="16" spans="1:18" ht="22.5" customHeight="1">
      <c r="A16" s="266"/>
      <c r="B16" s="31" t="s">
        <v>35</v>
      </c>
      <c r="C16" s="212">
        <v>7</v>
      </c>
      <c r="D16" s="16"/>
      <c r="E16" s="16"/>
      <c r="F16" s="16"/>
      <c r="G16" s="16"/>
      <c r="H16" s="7"/>
      <c r="I16" s="27"/>
      <c r="K16" s="39" t="s">
        <v>23</v>
      </c>
      <c r="L16" s="40" t="s">
        <v>24</v>
      </c>
      <c r="M16" s="41" t="s">
        <v>25</v>
      </c>
    </row>
    <row r="17" spans="1:13" ht="22.5" customHeight="1" thickBot="1">
      <c r="A17" s="266"/>
      <c r="B17" s="215" t="s">
        <v>18</v>
      </c>
      <c r="C17" s="34">
        <v>8</v>
      </c>
      <c r="D17" s="216"/>
      <c r="E17" s="216"/>
      <c r="F17" s="216"/>
      <c r="G17" s="216"/>
      <c r="H17" s="217"/>
      <c r="I17" s="218"/>
      <c r="K17" s="38">
        <v>0.01</v>
      </c>
      <c r="L17" s="75">
        <f>+N13</f>
        <v>438243</v>
      </c>
      <c r="M17" s="68">
        <f>ROUND(+L17/K17,-3)</f>
        <v>43824000</v>
      </c>
    </row>
    <row r="18" spans="1:13" ht="22.5" customHeight="1" thickBot="1">
      <c r="A18" s="19"/>
      <c r="B18" s="213"/>
      <c r="C18" s="32"/>
      <c r="D18" s="13"/>
      <c r="E18" s="13"/>
      <c r="F18" s="13"/>
      <c r="G18" s="13"/>
      <c r="H18" s="13"/>
      <c r="I18" s="33"/>
      <c r="K18" s="163">
        <v>7.0000000000000001E-3</v>
      </c>
      <c r="L18" s="162">
        <f>+N12</f>
        <v>36318</v>
      </c>
      <c r="M18" s="68">
        <f>ROUND(+L18/K18,-3)</f>
        <v>5188000</v>
      </c>
    </row>
    <row r="19" spans="1:13" ht="22.5" customHeight="1">
      <c r="A19" s="266" t="s">
        <v>21</v>
      </c>
      <c r="B19" s="43" t="s">
        <v>37</v>
      </c>
      <c r="C19" s="44">
        <v>9</v>
      </c>
      <c r="D19" s="232"/>
      <c r="E19" s="232"/>
      <c r="F19" s="232"/>
      <c r="G19" s="232"/>
      <c r="H19" s="233"/>
      <c r="I19" s="234"/>
      <c r="K19" s="38"/>
      <c r="L19" s="67"/>
      <c r="M19" s="68"/>
    </row>
    <row r="20" spans="1:13" s="192" customFormat="1" ht="22.5" customHeight="1">
      <c r="A20" s="266"/>
      <c r="B20" s="31" t="s">
        <v>38</v>
      </c>
      <c r="C20" s="211">
        <v>10</v>
      </c>
      <c r="D20" s="235">
        <f>+M21</f>
        <v>49012000</v>
      </c>
      <c r="E20" s="235">
        <f>+O12+O13</f>
        <v>474000</v>
      </c>
      <c r="F20" s="235">
        <f>+DECLARACION!K8</f>
        <v>49013000</v>
      </c>
      <c r="G20" s="235">
        <f>+DECLARACION!L8</f>
        <v>474000</v>
      </c>
      <c r="H20" s="235">
        <f>+D20-F20</f>
        <v>-1000</v>
      </c>
      <c r="I20" s="236">
        <f>+E20-G20</f>
        <v>0</v>
      </c>
      <c r="K20" s="193"/>
      <c r="L20" s="194"/>
      <c r="M20" s="195"/>
    </row>
    <row r="21" spans="1:13" ht="22.5" customHeight="1" thickBot="1">
      <c r="A21" s="266"/>
      <c r="B21" s="31" t="s">
        <v>39</v>
      </c>
      <c r="C21" s="212">
        <v>11</v>
      </c>
      <c r="D21" s="235"/>
      <c r="E21" s="235"/>
      <c r="F21" s="235"/>
      <c r="G21" s="235"/>
      <c r="H21" s="237"/>
      <c r="I21" s="238"/>
      <c r="K21" s="69">
        <f>SUM(K17:K20)</f>
        <v>1.7000000000000001E-2</v>
      </c>
      <c r="L21" s="70" t="s">
        <v>44</v>
      </c>
      <c r="M21" s="71">
        <f>SUM(M17:M20)</f>
        <v>49012000</v>
      </c>
    </row>
    <row r="22" spans="1:13" ht="22.5" customHeight="1">
      <c r="A22" s="266"/>
      <c r="B22" s="42" t="s">
        <v>40</v>
      </c>
      <c r="C22" s="8">
        <v>12</v>
      </c>
      <c r="D22" s="239"/>
      <c r="E22" s="239"/>
      <c r="F22" s="239"/>
      <c r="G22" s="239"/>
      <c r="H22" s="237"/>
      <c r="I22" s="240"/>
    </row>
    <row r="23" spans="1:13" ht="22.5" customHeight="1">
      <c r="A23" s="266"/>
      <c r="B23" s="31" t="s">
        <v>41</v>
      </c>
      <c r="C23" s="212">
        <v>13</v>
      </c>
      <c r="D23" s="235"/>
      <c r="E23" s="235"/>
      <c r="F23" s="235"/>
      <c r="G23" s="235"/>
      <c r="H23" s="237"/>
      <c r="I23" s="238"/>
    </row>
    <row r="24" spans="1:13" ht="22.5" customHeight="1">
      <c r="A24" s="266"/>
      <c r="B24" s="31" t="s">
        <v>42</v>
      </c>
      <c r="C24" s="212">
        <v>14</v>
      </c>
      <c r="D24" s="235"/>
      <c r="E24" s="235"/>
      <c r="F24" s="235"/>
      <c r="G24" s="235"/>
      <c r="H24" s="237"/>
      <c r="I24" s="238"/>
    </row>
    <row r="25" spans="1:13" ht="22.5" customHeight="1">
      <c r="A25" s="266"/>
      <c r="B25" s="31" t="s">
        <v>18</v>
      </c>
      <c r="C25" s="212">
        <v>15</v>
      </c>
      <c r="D25" s="235"/>
      <c r="E25" s="235"/>
      <c r="F25" s="235"/>
      <c r="G25" s="235"/>
      <c r="H25" s="237"/>
      <c r="I25" s="238"/>
    </row>
    <row r="26" spans="1:13" ht="22.5" customHeight="1">
      <c r="A26" s="266"/>
      <c r="B26" s="42" t="s">
        <v>8</v>
      </c>
      <c r="C26" s="8">
        <v>16</v>
      </c>
      <c r="D26" s="239">
        <f>SUM(D20:D25)</f>
        <v>49012000</v>
      </c>
      <c r="E26" s="239">
        <f t="shared" ref="E26:I26" si="0">SUM(E20:E25)</f>
        <v>474000</v>
      </c>
      <c r="F26" s="239">
        <f t="shared" si="0"/>
        <v>49013000</v>
      </c>
      <c r="G26" s="239">
        <f t="shared" si="0"/>
        <v>474000</v>
      </c>
      <c r="H26" s="239">
        <f t="shared" si="0"/>
        <v>-1000</v>
      </c>
      <c r="I26" s="241">
        <f t="shared" si="0"/>
        <v>0</v>
      </c>
    </row>
    <row r="27" spans="1:13" ht="22.5" customHeight="1">
      <c r="A27" s="266"/>
      <c r="B27" s="31" t="s">
        <v>43</v>
      </c>
      <c r="C27" s="212">
        <v>17</v>
      </c>
      <c r="D27" s="16"/>
      <c r="E27" s="16"/>
      <c r="F27" s="16"/>
      <c r="G27" s="16"/>
      <c r="H27" s="7"/>
      <c r="I27" s="27"/>
    </row>
    <row r="28" spans="1:13" ht="22.5" customHeight="1" thickBot="1">
      <c r="A28" s="266"/>
      <c r="B28" s="210" t="s">
        <v>19</v>
      </c>
      <c r="C28" s="34">
        <v>18</v>
      </c>
      <c r="D28" s="242">
        <f>ROUND(+D26,-3)</f>
        <v>49012000</v>
      </c>
      <c r="E28" s="242">
        <f>+E26+E27</f>
        <v>474000</v>
      </c>
      <c r="F28" s="242">
        <v>0</v>
      </c>
      <c r="G28" s="242">
        <f>+DECLARACION!J21</f>
        <v>0</v>
      </c>
      <c r="H28" s="243">
        <f>+D28-F28</f>
        <v>49012000</v>
      </c>
      <c r="I28" s="244">
        <f>+E28-G28</f>
        <v>474000</v>
      </c>
    </row>
    <row r="29" spans="1:13">
      <c r="D29" s="245"/>
      <c r="E29" s="245"/>
      <c r="F29" s="245"/>
      <c r="G29" s="245"/>
      <c r="H29" s="245"/>
      <c r="I29" s="246"/>
    </row>
    <row r="30" spans="1:13" ht="48.45" customHeight="1">
      <c r="A30" s="264" t="s">
        <v>89</v>
      </c>
      <c r="B30" s="265"/>
      <c r="C30" s="265"/>
      <c r="D30" s="265"/>
      <c r="E30" s="265"/>
      <c r="F30" s="265"/>
      <c r="G30" s="265"/>
      <c r="H30" s="265"/>
      <c r="I30" s="265"/>
    </row>
    <row r="31" spans="1:13">
      <c r="D31" s="3"/>
      <c r="E31" s="3"/>
      <c r="F31" s="3"/>
      <c r="G31" s="3"/>
      <c r="H31" s="3"/>
    </row>
    <row r="32" spans="1:13">
      <c r="D32" s="3"/>
      <c r="E32" s="3"/>
      <c r="F32" s="3"/>
      <c r="G32" s="3"/>
      <c r="H32" s="3"/>
    </row>
    <row r="33" spans="4:8">
      <c r="D33" s="3"/>
      <c r="E33" s="3"/>
      <c r="F33" s="3"/>
      <c r="G33" s="3"/>
      <c r="H33" s="3"/>
    </row>
    <row r="34" spans="4:8">
      <c r="D34" s="3"/>
      <c r="E34" s="3"/>
      <c r="F34" s="3"/>
      <c r="G34" s="3"/>
      <c r="H34" s="3"/>
    </row>
    <row r="35" spans="4:8">
      <c r="D35" s="3"/>
      <c r="E35" s="3"/>
      <c r="F35" s="3"/>
      <c r="G35" s="3"/>
      <c r="H35" s="3"/>
    </row>
    <row r="36" spans="4:8">
      <c r="D36" s="3"/>
      <c r="E36" s="3"/>
      <c r="F36" s="3"/>
      <c r="G36" s="3"/>
      <c r="H36" s="3"/>
    </row>
    <row r="37" spans="4:8">
      <c r="D37" s="3"/>
      <c r="E37" s="3"/>
      <c r="F37" s="3"/>
      <c r="G37" s="3"/>
      <c r="H37" s="3"/>
    </row>
    <row r="38" spans="4:8">
      <c r="D38" s="3"/>
      <c r="E38" s="3"/>
      <c r="F38" s="3"/>
      <c r="G38" s="3"/>
      <c r="H38" s="3"/>
    </row>
    <row r="39" spans="4:8">
      <c r="D39" s="3"/>
      <c r="E39" s="3"/>
      <c r="F39" s="3"/>
      <c r="G39" s="3"/>
      <c r="H39" s="3"/>
    </row>
    <row r="40" spans="4:8">
      <c r="E40" s="3"/>
      <c r="F40" s="3"/>
      <c r="G40" s="3"/>
      <c r="H40" s="3"/>
    </row>
    <row r="41" spans="4:8">
      <c r="D41" s="3"/>
      <c r="E41" s="3"/>
      <c r="F41" s="3"/>
      <c r="G41" s="3"/>
      <c r="H41" s="3"/>
    </row>
    <row r="42" spans="4:8">
      <c r="D42" s="3"/>
      <c r="E42" s="3"/>
      <c r="F42" s="3"/>
      <c r="G42" s="3"/>
      <c r="H42" s="3"/>
    </row>
    <row r="43" spans="4:8">
      <c r="D43" s="3"/>
      <c r="E43" s="3"/>
      <c r="F43" s="3"/>
      <c r="G43" s="3"/>
      <c r="H43" s="3"/>
    </row>
    <row r="44" spans="4:8">
      <c r="D44" s="3"/>
      <c r="E44" s="3"/>
      <c r="F44" s="3"/>
      <c r="G44" s="3"/>
      <c r="H44" s="3"/>
    </row>
    <row r="45" spans="4:8">
      <c r="D45" s="3"/>
      <c r="E45" s="3"/>
      <c r="F45" s="3"/>
      <c r="G45" s="3"/>
      <c r="H45" s="3"/>
    </row>
    <row r="46" spans="4:8">
      <c r="D46" s="3"/>
      <c r="E46" s="3"/>
      <c r="F46" s="3"/>
      <c r="G46" s="3"/>
      <c r="H46" s="3"/>
    </row>
    <row r="47" spans="4:8">
      <c r="D47" s="3"/>
      <c r="E47" s="3"/>
      <c r="F47" s="3"/>
      <c r="G47" s="3"/>
      <c r="H47" s="3"/>
    </row>
    <row r="48" spans="4:8">
      <c r="D48" s="3"/>
      <c r="E48" s="3"/>
      <c r="F48" s="3"/>
      <c r="G48" s="3"/>
      <c r="H48" s="3"/>
    </row>
    <row r="49" spans="4:8">
      <c r="D49" s="3"/>
      <c r="E49" s="3"/>
      <c r="F49" s="3"/>
      <c r="G49" s="3"/>
      <c r="H49" s="3"/>
    </row>
    <row r="50" spans="4:8">
      <c r="D50" s="3"/>
      <c r="E50" s="3"/>
      <c r="F50" s="3"/>
      <c r="G50" s="3"/>
      <c r="H50" s="3"/>
    </row>
    <row r="51" spans="4:8">
      <c r="D51" s="3"/>
      <c r="E51" s="3"/>
      <c r="F51" s="3"/>
      <c r="G51" s="3"/>
      <c r="H51" s="3"/>
    </row>
    <row r="52" spans="4:8">
      <c r="D52" s="3"/>
      <c r="E52" s="3"/>
      <c r="F52" s="3"/>
      <c r="G52" s="3"/>
      <c r="H52" s="3"/>
    </row>
    <row r="53" spans="4:8">
      <c r="D53" s="3"/>
      <c r="E53" s="3"/>
      <c r="F53" s="3"/>
      <c r="G53" s="3"/>
      <c r="H53" s="3"/>
    </row>
    <row r="54" spans="4:8">
      <c r="D54" s="3"/>
      <c r="E54" s="3"/>
      <c r="F54" s="3"/>
      <c r="G54" s="3"/>
      <c r="H54" s="3"/>
    </row>
    <row r="55" spans="4:8">
      <c r="D55" s="3"/>
      <c r="E55" s="3"/>
      <c r="F55" s="3"/>
      <c r="G55" s="3"/>
      <c r="H55" s="3"/>
    </row>
    <row r="56" spans="4:8">
      <c r="D56" s="3"/>
      <c r="E56" s="3"/>
      <c r="F56" s="3"/>
      <c r="G56" s="3"/>
      <c r="H56" s="3"/>
    </row>
    <row r="57" spans="4:8">
      <c r="D57" s="3"/>
      <c r="E57" s="3"/>
      <c r="F57" s="3"/>
      <c r="G57" s="3"/>
      <c r="H57" s="3"/>
    </row>
    <row r="58" spans="4:8">
      <c r="D58" s="3"/>
      <c r="E58" s="3"/>
      <c r="F58" s="3"/>
      <c r="G58" s="3"/>
      <c r="H58" s="3"/>
    </row>
    <row r="59" spans="4:8">
      <c r="D59" s="3"/>
      <c r="E59" s="3"/>
      <c r="F59" s="3"/>
      <c r="G59" s="3"/>
      <c r="H59" s="3"/>
    </row>
    <row r="60" spans="4:8">
      <c r="D60" s="3"/>
      <c r="E60" s="3"/>
      <c r="F60" s="3"/>
      <c r="G60" s="3"/>
      <c r="H60" s="3"/>
    </row>
    <row r="61" spans="4:8">
      <c r="D61" s="3"/>
      <c r="E61" s="3"/>
      <c r="F61" s="3"/>
      <c r="G61" s="3"/>
      <c r="H61" s="3"/>
    </row>
    <row r="62" spans="4:8">
      <c r="D62" s="3"/>
      <c r="E62" s="3"/>
      <c r="F62" s="3"/>
      <c r="G62" s="3"/>
      <c r="H62" s="3"/>
    </row>
    <row r="63" spans="4:8">
      <c r="D63" s="3"/>
      <c r="E63" s="3"/>
      <c r="F63" s="3"/>
      <c r="G63" s="3"/>
      <c r="H63" s="3"/>
    </row>
    <row r="64" spans="4:8">
      <c r="D64" s="3"/>
      <c r="E64" s="3"/>
      <c r="F64" s="3"/>
      <c r="G64" s="3"/>
      <c r="H64" s="3"/>
    </row>
    <row r="65" spans="4:8">
      <c r="D65" s="3"/>
      <c r="E65" s="3"/>
      <c r="F65" s="3"/>
      <c r="G65" s="3"/>
      <c r="H65" s="3"/>
    </row>
    <row r="66" spans="4:8">
      <c r="D66" s="3"/>
      <c r="E66" s="3"/>
      <c r="F66" s="3"/>
      <c r="G66" s="3"/>
      <c r="H66" s="3"/>
    </row>
    <row r="67" spans="4:8">
      <c r="D67" s="3"/>
      <c r="E67" s="3"/>
      <c r="F67" s="3"/>
      <c r="G67" s="3"/>
      <c r="H67" s="3"/>
    </row>
    <row r="68" spans="4:8">
      <c r="D68" s="3"/>
      <c r="E68" s="3"/>
      <c r="F68" s="3"/>
      <c r="G68" s="3"/>
      <c r="H68" s="3"/>
    </row>
    <row r="69" spans="4:8">
      <c r="D69" s="3"/>
      <c r="E69" s="3"/>
      <c r="F69" s="3"/>
      <c r="G69" s="3"/>
      <c r="H69" s="3"/>
    </row>
    <row r="70" spans="4:8">
      <c r="D70" s="3"/>
      <c r="E70" s="3"/>
      <c r="F70" s="3"/>
      <c r="G70" s="3"/>
      <c r="H70" s="3"/>
    </row>
    <row r="71" spans="4:8">
      <c r="D71" s="3"/>
      <c r="E71" s="3"/>
      <c r="F71" s="3"/>
      <c r="G71" s="3"/>
      <c r="H71" s="3"/>
    </row>
    <row r="72" spans="4:8">
      <c r="D72" s="3"/>
      <c r="E72" s="3"/>
      <c r="F72" s="3"/>
      <c r="G72" s="3"/>
      <c r="H72" s="3"/>
    </row>
    <row r="73" spans="4:8">
      <c r="D73" s="3"/>
      <c r="E73" s="3"/>
      <c r="F73" s="3"/>
      <c r="G73" s="3"/>
      <c r="H73" s="3"/>
    </row>
    <row r="74" spans="4:8">
      <c r="D74" s="3"/>
      <c r="E74" s="3"/>
      <c r="F74" s="3"/>
      <c r="G74" s="3"/>
      <c r="H74" s="3"/>
    </row>
    <row r="75" spans="4:8">
      <c r="D75" s="3"/>
      <c r="E75" s="3"/>
      <c r="F75" s="3"/>
      <c r="G75" s="3"/>
      <c r="H75" s="3"/>
    </row>
    <row r="76" spans="4:8">
      <c r="D76" s="3"/>
      <c r="E76" s="3"/>
      <c r="F76" s="3"/>
      <c r="G76" s="3"/>
      <c r="H76" s="3"/>
    </row>
    <row r="77" spans="4:8">
      <c r="D77" s="3"/>
      <c r="E77" s="3"/>
      <c r="F77" s="3"/>
      <c r="G77" s="3"/>
      <c r="H77" s="3"/>
    </row>
    <row r="78" spans="4:8">
      <c r="D78" s="3"/>
      <c r="E78" s="3"/>
      <c r="F78" s="3"/>
      <c r="G78" s="3"/>
      <c r="H78" s="3"/>
    </row>
    <row r="79" spans="4:8">
      <c r="D79" s="3"/>
      <c r="E79" s="3"/>
      <c r="F79" s="3"/>
      <c r="G79" s="3"/>
      <c r="H79" s="3"/>
    </row>
    <row r="80" spans="4:8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D90" s="3"/>
      <c r="E90" s="3"/>
      <c r="F90" s="3"/>
      <c r="G90" s="3"/>
      <c r="H90" s="3"/>
    </row>
    <row r="91" spans="4:8">
      <c r="D91" s="3"/>
      <c r="E91" s="3"/>
      <c r="F91" s="3"/>
      <c r="G91" s="3"/>
      <c r="H91" s="3"/>
    </row>
    <row r="92" spans="4:8">
      <c r="D92" s="3"/>
      <c r="E92" s="3"/>
      <c r="F92" s="3"/>
      <c r="G92" s="3"/>
      <c r="H92" s="3"/>
    </row>
    <row r="93" spans="4:8">
      <c r="D93" s="3"/>
      <c r="E93" s="3"/>
      <c r="F93" s="3"/>
      <c r="G93" s="3"/>
      <c r="H93" s="3"/>
    </row>
    <row r="94" spans="4:8">
      <c r="D94" s="3"/>
      <c r="E94" s="3"/>
      <c r="F94" s="3"/>
      <c r="G94" s="3"/>
      <c r="H94" s="3"/>
    </row>
    <row r="95" spans="4:8">
      <c r="D95" s="3"/>
      <c r="E95" s="3"/>
      <c r="F95" s="3"/>
      <c r="G95" s="3"/>
      <c r="H95" s="3"/>
    </row>
    <row r="96" spans="4:8">
      <c r="D96" s="3"/>
      <c r="E96" s="3"/>
      <c r="F96" s="3"/>
      <c r="G96" s="3"/>
      <c r="H96" s="3"/>
    </row>
    <row r="97" spans="4:8">
      <c r="D97" s="3"/>
      <c r="E97" s="3"/>
      <c r="F97" s="3"/>
      <c r="G97" s="3"/>
      <c r="H97" s="3"/>
    </row>
    <row r="98" spans="4:8">
      <c r="D98" s="3"/>
      <c r="E98" s="3"/>
      <c r="F98" s="3"/>
      <c r="G98" s="3"/>
      <c r="H98" s="3"/>
    </row>
    <row r="99" spans="4:8">
      <c r="D99" s="3"/>
      <c r="E99" s="3"/>
      <c r="F99" s="3"/>
      <c r="G99" s="3"/>
      <c r="H99" s="3"/>
    </row>
    <row r="100" spans="4:8">
      <c r="D100" s="3"/>
      <c r="E100" s="3"/>
      <c r="F100" s="3"/>
      <c r="G100" s="3"/>
      <c r="H100" s="3"/>
    </row>
    <row r="101" spans="4:8">
      <c r="D101" s="3"/>
      <c r="E101" s="3"/>
      <c r="F101" s="3"/>
      <c r="G101" s="3"/>
      <c r="H101" s="3"/>
    </row>
    <row r="102" spans="4:8">
      <c r="D102" s="3"/>
      <c r="E102" s="3"/>
      <c r="F102" s="3"/>
      <c r="G102" s="3"/>
      <c r="H102" s="3"/>
    </row>
    <row r="103" spans="4:8">
      <c r="D103" s="3"/>
      <c r="E103" s="3"/>
      <c r="F103" s="3"/>
      <c r="G103" s="3"/>
      <c r="H103" s="3"/>
    </row>
    <row r="104" spans="4:8">
      <c r="D104" s="3"/>
      <c r="E104" s="3"/>
      <c r="F104" s="3"/>
      <c r="G104" s="3"/>
      <c r="H104" s="3"/>
    </row>
    <row r="105" spans="4:8">
      <c r="D105" s="3"/>
      <c r="E105" s="3"/>
      <c r="F105" s="3"/>
      <c r="G105" s="3"/>
      <c r="H105" s="3"/>
    </row>
    <row r="106" spans="4:8">
      <c r="D106" s="3"/>
      <c r="E106" s="3"/>
      <c r="F106" s="3"/>
      <c r="G106" s="3"/>
      <c r="H106" s="3"/>
    </row>
    <row r="107" spans="4:8">
      <c r="D107" s="3"/>
      <c r="E107" s="3"/>
      <c r="F107" s="3"/>
      <c r="G107" s="3"/>
      <c r="H107" s="3"/>
    </row>
    <row r="108" spans="4:8">
      <c r="D108" s="3"/>
      <c r="E108" s="3"/>
      <c r="F108" s="3"/>
      <c r="G108" s="3"/>
      <c r="H108" s="3"/>
    </row>
    <row r="109" spans="4:8">
      <c r="D109" s="3"/>
      <c r="E109" s="3"/>
      <c r="F109" s="3"/>
      <c r="G109" s="3"/>
      <c r="H109" s="3"/>
    </row>
    <row r="110" spans="4:8">
      <c r="D110" s="3"/>
      <c r="E110" s="3"/>
      <c r="F110" s="3"/>
      <c r="G110" s="3"/>
      <c r="H110" s="3"/>
    </row>
    <row r="111" spans="4:8">
      <c r="D111" s="3"/>
      <c r="E111" s="3"/>
      <c r="F111" s="3"/>
      <c r="G111" s="3"/>
      <c r="H111" s="3"/>
    </row>
    <row r="112" spans="4:8">
      <c r="D112" s="3"/>
      <c r="E112" s="3"/>
      <c r="F112" s="3"/>
      <c r="G112" s="3"/>
      <c r="H112" s="3"/>
    </row>
    <row r="113" spans="4:8">
      <c r="D113" s="3"/>
      <c r="E113" s="3"/>
      <c r="F113" s="3"/>
      <c r="G113" s="3"/>
      <c r="H113" s="3"/>
    </row>
    <row r="114" spans="4:8">
      <c r="D114" s="3"/>
      <c r="E114" s="3"/>
      <c r="F114" s="3"/>
      <c r="G114" s="3"/>
      <c r="H114" s="3"/>
    </row>
    <row r="115" spans="4:8">
      <c r="D115" s="3"/>
      <c r="E115" s="3"/>
      <c r="F115" s="3"/>
      <c r="G115" s="3"/>
      <c r="H115" s="3"/>
    </row>
    <row r="116" spans="4:8">
      <c r="D116" s="3"/>
      <c r="E116" s="3"/>
      <c r="F116" s="3"/>
      <c r="G116" s="3"/>
      <c r="H116" s="3"/>
    </row>
    <row r="117" spans="4:8">
      <c r="D117" s="3"/>
      <c r="E117" s="3"/>
      <c r="F117" s="3"/>
      <c r="G117" s="3"/>
      <c r="H117" s="3"/>
    </row>
    <row r="118" spans="4:8">
      <c r="D118" s="3"/>
      <c r="E118" s="3"/>
      <c r="F118" s="3"/>
      <c r="G118" s="3"/>
      <c r="H118" s="3"/>
    </row>
    <row r="119" spans="4:8">
      <c r="D119" s="3"/>
      <c r="E119" s="3"/>
      <c r="F119" s="3"/>
      <c r="G119" s="3"/>
      <c r="H119" s="3"/>
    </row>
    <row r="120" spans="4:8">
      <c r="D120" s="3"/>
      <c r="E120" s="3"/>
      <c r="F120" s="3"/>
      <c r="G120" s="3"/>
      <c r="H120" s="3"/>
    </row>
    <row r="121" spans="4:8">
      <c r="D121" s="3"/>
      <c r="E121" s="3"/>
      <c r="F121" s="3"/>
      <c r="G121" s="3"/>
      <c r="H121" s="3"/>
    </row>
    <row r="122" spans="4:8">
      <c r="D122" s="3"/>
      <c r="E122" s="3"/>
      <c r="F122" s="3"/>
      <c r="G122" s="3"/>
      <c r="H122" s="3"/>
    </row>
    <row r="123" spans="4:8">
      <c r="D123" s="3"/>
      <c r="E123" s="3"/>
      <c r="F123" s="3"/>
      <c r="G123" s="3"/>
      <c r="H123" s="3"/>
    </row>
    <row r="124" spans="4:8">
      <c r="D124" s="3"/>
      <c r="E124" s="3"/>
      <c r="F124" s="3"/>
      <c r="G124" s="3"/>
      <c r="H124" s="3"/>
    </row>
    <row r="125" spans="4:8">
      <c r="D125" s="3"/>
      <c r="E125" s="3"/>
      <c r="F125" s="3"/>
      <c r="G125" s="3"/>
      <c r="H125" s="3"/>
    </row>
    <row r="126" spans="4:8">
      <c r="D126" s="3"/>
      <c r="E126" s="3"/>
      <c r="F126" s="3"/>
      <c r="G126" s="3"/>
      <c r="H126" s="3"/>
    </row>
    <row r="127" spans="4:8">
      <c r="D127" s="3"/>
      <c r="E127" s="3"/>
      <c r="F127" s="3"/>
      <c r="G127" s="3"/>
      <c r="H127" s="3"/>
    </row>
    <row r="128" spans="4:8">
      <c r="D128" s="3"/>
      <c r="E128" s="3"/>
      <c r="F128" s="3"/>
      <c r="G128" s="3"/>
      <c r="H128" s="3"/>
    </row>
    <row r="129" spans="4:8">
      <c r="D129" s="3"/>
      <c r="E129" s="3"/>
      <c r="F129" s="3"/>
      <c r="G129" s="3"/>
      <c r="H129" s="3"/>
    </row>
    <row r="130" spans="4:8">
      <c r="D130" s="3"/>
      <c r="E130" s="3"/>
      <c r="F130" s="3"/>
      <c r="G130" s="3"/>
      <c r="H130" s="3"/>
    </row>
    <row r="131" spans="4:8">
      <c r="D131" s="3"/>
      <c r="E131" s="3"/>
      <c r="F131" s="3"/>
      <c r="G131" s="3"/>
      <c r="H131" s="3"/>
    </row>
    <row r="132" spans="4:8">
      <c r="D132" s="3"/>
      <c r="E132" s="3"/>
      <c r="F132" s="3"/>
      <c r="G132" s="3"/>
      <c r="H132" s="3"/>
    </row>
    <row r="133" spans="4:8">
      <c r="D133" s="3"/>
      <c r="E133" s="3"/>
      <c r="F133" s="3"/>
      <c r="G133" s="3"/>
      <c r="H133" s="3"/>
    </row>
    <row r="134" spans="4:8">
      <c r="D134" s="3"/>
      <c r="E134" s="3"/>
      <c r="F134" s="3"/>
      <c r="G134" s="3"/>
      <c r="H134" s="3"/>
    </row>
    <row r="135" spans="4:8">
      <c r="D135" s="3"/>
      <c r="E135" s="3"/>
      <c r="F135" s="3"/>
      <c r="G135" s="3"/>
      <c r="H135" s="3"/>
    </row>
    <row r="136" spans="4:8">
      <c r="D136" s="3"/>
      <c r="E136" s="3"/>
      <c r="F136" s="3"/>
      <c r="G136" s="3"/>
      <c r="H136" s="3"/>
    </row>
    <row r="137" spans="4:8">
      <c r="D137" s="3"/>
      <c r="E137" s="3"/>
      <c r="F137" s="3"/>
      <c r="G137" s="3"/>
      <c r="H137" s="3"/>
    </row>
    <row r="138" spans="4:8">
      <c r="D138" s="3"/>
      <c r="E138" s="3"/>
      <c r="F138" s="3"/>
      <c r="G138" s="3"/>
      <c r="H138" s="3"/>
    </row>
    <row r="139" spans="4:8">
      <c r="D139" s="3"/>
      <c r="E139" s="3"/>
      <c r="F139" s="3"/>
      <c r="G139" s="3"/>
      <c r="H139" s="3"/>
    </row>
    <row r="140" spans="4:8">
      <c r="D140" s="3"/>
      <c r="E140" s="3"/>
      <c r="F140" s="3"/>
      <c r="G140" s="3"/>
      <c r="H140" s="3"/>
    </row>
    <row r="141" spans="4:8">
      <c r="D141" s="3"/>
      <c r="E141" s="3"/>
      <c r="F141" s="3"/>
      <c r="G141" s="3"/>
      <c r="H141" s="3"/>
    </row>
    <row r="142" spans="4:8">
      <c r="D142" s="3"/>
      <c r="E142" s="3"/>
      <c r="F142" s="3"/>
      <c r="G142" s="3"/>
      <c r="H142" s="3"/>
    </row>
    <row r="143" spans="4:8">
      <c r="D143" s="3"/>
      <c r="E143" s="3"/>
      <c r="F143" s="3"/>
      <c r="G143" s="3"/>
      <c r="H143" s="3"/>
    </row>
    <row r="144" spans="4:8">
      <c r="D144" s="3"/>
      <c r="E144" s="3"/>
      <c r="F144" s="3"/>
      <c r="G144" s="3"/>
      <c r="H144" s="3"/>
    </row>
    <row r="145" spans="4:8">
      <c r="D145" s="3"/>
      <c r="E145" s="3"/>
      <c r="F145" s="3"/>
      <c r="G145" s="3"/>
      <c r="H145" s="3"/>
    </row>
    <row r="146" spans="4:8">
      <c r="D146" s="3"/>
      <c r="E146" s="3"/>
      <c r="F146" s="3"/>
      <c r="G146" s="3"/>
      <c r="H146" s="3"/>
    </row>
    <row r="147" spans="4:8">
      <c r="D147" s="3"/>
      <c r="E147" s="3"/>
      <c r="F147" s="3"/>
      <c r="G147" s="3"/>
      <c r="H147" s="3"/>
    </row>
    <row r="148" spans="4:8">
      <c r="D148" s="3"/>
      <c r="E148" s="3"/>
      <c r="F148" s="3"/>
      <c r="G148" s="3"/>
      <c r="H148" s="3"/>
    </row>
    <row r="149" spans="4:8">
      <c r="D149" s="3"/>
      <c r="E149" s="3"/>
      <c r="F149" s="3"/>
      <c r="G149" s="3"/>
      <c r="H149" s="3"/>
    </row>
    <row r="150" spans="4:8">
      <c r="D150" s="3"/>
      <c r="E150" s="3"/>
      <c r="F150" s="3"/>
      <c r="G150" s="3"/>
      <c r="H150" s="3"/>
    </row>
    <row r="151" spans="4:8">
      <c r="D151" s="3"/>
      <c r="E151" s="3"/>
      <c r="F151" s="3"/>
      <c r="G151" s="3"/>
      <c r="H151" s="3"/>
    </row>
    <row r="152" spans="4:8">
      <c r="D152" s="3"/>
      <c r="E152" s="3"/>
      <c r="F152" s="3"/>
      <c r="G152" s="3"/>
      <c r="H152" s="3"/>
    </row>
    <row r="153" spans="4:8">
      <c r="D153" s="3"/>
      <c r="E153" s="3"/>
      <c r="F153" s="3"/>
      <c r="G153" s="3"/>
      <c r="H153" s="3"/>
    </row>
    <row r="154" spans="4:8">
      <c r="D154" s="3"/>
      <c r="E154" s="3"/>
      <c r="F154" s="3"/>
      <c r="G154" s="3"/>
      <c r="H154" s="3"/>
    </row>
    <row r="155" spans="4:8">
      <c r="D155" s="3"/>
      <c r="E155" s="3"/>
      <c r="F155" s="3"/>
      <c r="G155" s="3"/>
      <c r="H155" s="3"/>
    </row>
    <row r="156" spans="4:8">
      <c r="D156" s="3"/>
      <c r="E156" s="3"/>
      <c r="F156" s="3"/>
      <c r="G156" s="3"/>
      <c r="H156" s="3"/>
    </row>
    <row r="157" spans="4:8">
      <c r="D157" s="3"/>
      <c r="E157" s="3"/>
      <c r="F157" s="3"/>
      <c r="G157" s="3"/>
      <c r="H157" s="3"/>
    </row>
    <row r="158" spans="4:8">
      <c r="D158" s="3"/>
      <c r="E158" s="3"/>
      <c r="F158" s="3"/>
      <c r="G158" s="3"/>
      <c r="H158" s="3"/>
    </row>
    <row r="159" spans="4:8">
      <c r="D159" s="3"/>
      <c r="E159" s="3"/>
      <c r="F159" s="3"/>
      <c r="G159" s="3"/>
      <c r="H159" s="3"/>
    </row>
    <row r="160" spans="4:8">
      <c r="D160" s="3"/>
      <c r="E160" s="3"/>
      <c r="F160" s="3"/>
      <c r="G160" s="3"/>
      <c r="H160" s="3"/>
    </row>
    <row r="161" spans="4:8">
      <c r="D161" s="3"/>
      <c r="E161" s="3"/>
      <c r="F161" s="3"/>
      <c r="G161" s="3"/>
      <c r="H161" s="3"/>
    </row>
    <row r="162" spans="4:8">
      <c r="D162" s="3"/>
      <c r="E162" s="3"/>
      <c r="F162" s="3"/>
      <c r="G162" s="3"/>
      <c r="H162" s="3"/>
    </row>
    <row r="163" spans="4:8">
      <c r="D163" s="3"/>
      <c r="E163" s="3"/>
      <c r="F163" s="3"/>
      <c r="G163" s="3"/>
      <c r="H163" s="3"/>
    </row>
    <row r="164" spans="4:8">
      <c r="D164" s="3"/>
      <c r="E164" s="3"/>
      <c r="F164" s="3"/>
      <c r="G164" s="3"/>
      <c r="H164" s="3"/>
    </row>
    <row r="165" spans="4:8">
      <c r="D165" s="3"/>
      <c r="E165" s="3"/>
      <c r="F165" s="3"/>
      <c r="G165" s="3"/>
      <c r="H165" s="3"/>
    </row>
    <row r="166" spans="4:8">
      <c r="D166" s="3"/>
      <c r="E166" s="3"/>
      <c r="F166" s="3"/>
      <c r="G166" s="3"/>
      <c r="H166" s="3"/>
    </row>
    <row r="167" spans="4:8">
      <c r="D167" s="3"/>
      <c r="E167" s="3"/>
      <c r="F167" s="3"/>
      <c r="G167" s="3"/>
      <c r="H167" s="3"/>
    </row>
    <row r="168" spans="4:8">
      <c r="D168" s="3"/>
      <c r="E168" s="3"/>
      <c r="F168" s="3"/>
      <c r="G168" s="3"/>
      <c r="H168" s="3"/>
    </row>
    <row r="169" spans="4:8">
      <c r="D169" s="3"/>
      <c r="E169" s="3"/>
      <c r="F169" s="3"/>
      <c r="G169" s="3"/>
      <c r="H169" s="3"/>
    </row>
    <row r="170" spans="4:8">
      <c r="D170" s="3"/>
      <c r="E170" s="3"/>
      <c r="F170" s="3"/>
      <c r="G170" s="3"/>
      <c r="H170" s="3"/>
    </row>
    <row r="171" spans="4:8">
      <c r="D171" s="3"/>
      <c r="E171" s="3"/>
      <c r="F171" s="3"/>
      <c r="G171" s="3"/>
      <c r="H171" s="3"/>
    </row>
    <row r="172" spans="4:8">
      <c r="D172" s="3"/>
      <c r="E172" s="3"/>
      <c r="F172" s="3"/>
      <c r="G172" s="3"/>
      <c r="H172" s="3"/>
    </row>
    <row r="173" spans="4:8">
      <c r="D173" s="3"/>
      <c r="E173" s="3"/>
      <c r="F173" s="3"/>
      <c r="G173" s="3"/>
      <c r="H173" s="3"/>
    </row>
    <row r="174" spans="4:8">
      <c r="D174" s="3"/>
      <c r="E174" s="3"/>
      <c r="F174" s="3"/>
      <c r="G174" s="3"/>
      <c r="H174" s="3"/>
    </row>
    <row r="175" spans="4:8">
      <c r="D175" s="3"/>
      <c r="E175" s="3"/>
      <c r="F175" s="3"/>
      <c r="G175" s="3"/>
      <c r="H175" s="3"/>
    </row>
    <row r="176" spans="4:8">
      <c r="D176" s="3"/>
      <c r="E176" s="3"/>
      <c r="F176" s="3"/>
      <c r="G176" s="3"/>
      <c r="H176" s="3"/>
    </row>
    <row r="177" spans="4:8">
      <c r="D177" s="3"/>
      <c r="E177" s="3"/>
      <c r="F177" s="3"/>
      <c r="G177" s="3"/>
      <c r="H177" s="3"/>
    </row>
    <row r="178" spans="4:8">
      <c r="D178" s="3"/>
      <c r="E178" s="3"/>
      <c r="F178" s="3"/>
      <c r="G178" s="3"/>
      <c r="H178" s="3"/>
    </row>
    <row r="179" spans="4:8">
      <c r="D179" s="3"/>
      <c r="E179" s="3"/>
      <c r="F179" s="3"/>
      <c r="G179" s="3"/>
      <c r="H179" s="3"/>
    </row>
    <row r="180" spans="4:8">
      <c r="D180" s="3"/>
      <c r="E180" s="3"/>
      <c r="F180" s="3"/>
      <c r="G180" s="3"/>
      <c r="H180" s="3"/>
    </row>
    <row r="181" spans="4:8">
      <c r="D181" s="3"/>
      <c r="E181" s="3"/>
      <c r="F181" s="3"/>
      <c r="G181" s="3"/>
      <c r="H181" s="3"/>
    </row>
    <row r="182" spans="4:8">
      <c r="D182" s="3"/>
      <c r="E182" s="3"/>
      <c r="F182" s="3"/>
      <c r="G182" s="3"/>
      <c r="H182" s="3"/>
    </row>
    <row r="183" spans="4:8">
      <c r="D183" s="3"/>
      <c r="E183" s="3"/>
      <c r="F183" s="3"/>
      <c r="G183" s="3"/>
      <c r="H183" s="3"/>
    </row>
    <row r="184" spans="4:8">
      <c r="D184" s="3"/>
      <c r="E184" s="3"/>
      <c r="F184" s="3"/>
      <c r="G184" s="3"/>
      <c r="H184" s="3"/>
    </row>
    <row r="185" spans="4:8">
      <c r="D185" s="3"/>
      <c r="E185" s="3"/>
      <c r="F185" s="3"/>
      <c r="G185" s="3"/>
      <c r="H185" s="3"/>
    </row>
    <row r="186" spans="4:8">
      <c r="D186" s="3"/>
      <c r="E186" s="3"/>
      <c r="F186" s="3"/>
      <c r="G186" s="3"/>
      <c r="H186" s="3"/>
    </row>
    <row r="187" spans="4:8">
      <c r="D187" s="3"/>
      <c r="E187" s="3"/>
      <c r="F187" s="3"/>
      <c r="G187" s="3"/>
      <c r="H187" s="3"/>
    </row>
    <row r="188" spans="4:8">
      <c r="D188" s="3"/>
      <c r="E188" s="3"/>
      <c r="F188" s="3"/>
      <c r="G188" s="3"/>
      <c r="H188" s="3"/>
    </row>
    <row r="189" spans="4:8">
      <c r="D189" s="3"/>
      <c r="E189" s="3"/>
      <c r="F189" s="3"/>
      <c r="G189" s="3"/>
      <c r="H189" s="3"/>
    </row>
    <row r="190" spans="4:8">
      <c r="D190" s="3"/>
      <c r="E190" s="3"/>
      <c r="F190" s="3"/>
      <c r="G190" s="3"/>
      <c r="H190" s="3"/>
    </row>
    <row r="191" spans="4:8">
      <c r="D191" s="3"/>
      <c r="E191" s="3"/>
      <c r="F191" s="3"/>
      <c r="G191" s="3"/>
      <c r="H191" s="3"/>
    </row>
    <row r="192" spans="4:8">
      <c r="D192" s="3"/>
      <c r="E192" s="3"/>
      <c r="F192" s="3"/>
      <c r="G192" s="3"/>
      <c r="H192" s="3"/>
    </row>
    <row r="193" spans="4:8">
      <c r="D193" s="3"/>
      <c r="E193" s="3"/>
      <c r="F193" s="3"/>
      <c r="G193" s="3"/>
      <c r="H193" s="3"/>
    </row>
    <row r="194" spans="4:8">
      <c r="D194" s="3"/>
      <c r="E194" s="3"/>
      <c r="F194" s="3"/>
      <c r="G194" s="3"/>
      <c r="H194" s="3"/>
    </row>
    <row r="195" spans="4:8">
      <c r="D195" s="3"/>
      <c r="E195" s="3"/>
      <c r="F195" s="3"/>
      <c r="G195" s="3"/>
      <c r="H195" s="3"/>
    </row>
    <row r="196" spans="4:8">
      <c r="D196" s="3"/>
      <c r="E196" s="3"/>
      <c r="F196" s="3"/>
      <c r="G196" s="3"/>
      <c r="H196" s="3"/>
    </row>
    <row r="197" spans="4:8">
      <c r="D197" s="3"/>
      <c r="E197" s="3"/>
      <c r="F197" s="3"/>
      <c r="G197" s="3"/>
      <c r="H197" s="3"/>
    </row>
    <row r="198" spans="4:8">
      <c r="D198" s="3"/>
      <c r="E198" s="3"/>
      <c r="F198" s="3"/>
      <c r="G198" s="3"/>
      <c r="H198" s="3"/>
    </row>
    <row r="199" spans="4:8">
      <c r="D199" s="3"/>
      <c r="E199" s="3"/>
      <c r="F199" s="3"/>
      <c r="G199" s="3"/>
      <c r="H199" s="3"/>
    </row>
    <row r="200" spans="4:8">
      <c r="D200" s="3"/>
      <c r="E200" s="3"/>
      <c r="F200" s="3"/>
      <c r="G200" s="3"/>
      <c r="H200" s="3"/>
    </row>
    <row r="201" spans="4:8">
      <c r="D201" s="3"/>
      <c r="E201" s="3"/>
      <c r="F201" s="3"/>
      <c r="G201" s="3"/>
      <c r="H201" s="3"/>
    </row>
    <row r="202" spans="4:8">
      <c r="D202" s="3"/>
      <c r="E202" s="3"/>
      <c r="F202" s="3"/>
      <c r="G202" s="3"/>
      <c r="H202" s="3"/>
    </row>
    <row r="203" spans="4:8">
      <c r="D203" s="3"/>
      <c r="E203" s="3"/>
      <c r="F203" s="3"/>
      <c r="G203" s="3"/>
      <c r="H203" s="3"/>
    </row>
    <row r="204" spans="4:8">
      <c r="D204" s="3"/>
      <c r="E204" s="3"/>
      <c r="F204" s="3"/>
      <c r="G204" s="3"/>
      <c r="H204" s="3"/>
    </row>
    <row r="205" spans="4:8">
      <c r="D205" s="3"/>
      <c r="E205" s="3"/>
      <c r="F205" s="3"/>
      <c r="G205" s="3"/>
      <c r="H205" s="3"/>
    </row>
    <row r="206" spans="4:8">
      <c r="D206" s="3"/>
      <c r="E206" s="3"/>
      <c r="F206" s="3"/>
      <c r="G206" s="3"/>
      <c r="H206" s="3"/>
    </row>
    <row r="207" spans="4:8">
      <c r="D207" s="3"/>
      <c r="E207" s="3"/>
      <c r="F207" s="3"/>
      <c r="G207" s="3"/>
      <c r="H207" s="3"/>
    </row>
    <row r="208" spans="4:8">
      <c r="D208" s="3"/>
      <c r="E208" s="3"/>
      <c r="F208" s="3"/>
      <c r="G208" s="3"/>
      <c r="H208" s="3"/>
    </row>
    <row r="209" spans="4:8">
      <c r="D209" s="3"/>
      <c r="E209" s="3"/>
      <c r="F209" s="3"/>
      <c r="G209" s="3"/>
      <c r="H209" s="3"/>
    </row>
    <row r="210" spans="4:8">
      <c r="D210" s="3"/>
      <c r="E210" s="3"/>
      <c r="F210" s="3"/>
      <c r="G210" s="3"/>
      <c r="H210" s="3"/>
    </row>
    <row r="211" spans="4:8">
      <c r="D211" s="3"/>
      <c r="E211" s="3"/>
      <c r="F211" s="3"/>
      <c r="G211" s="3"/>
      <c r="H211" s="3"/>
    </row>
    <row r="212" spans="4:8">
      <c r="D212" s="3"/>
      <c r="E212" s="3"/>
      <c r="F212" s="3"/>
      <c r="G212" s="3"/>
      <c r="H212" s="3"/>
    </row>
    <row r="213" spans="4:8">
      <c r="D213" s="3"/>
      <c r="E213" s="3"/>
      <c r="F213" s="3"/>
      <c r="G213" s="3"/>
      <c r="H213" s="3"/>
    </row>
    <row r="214" spans="4:8">
      <c r="D214" s="3"/>
      <c r="E214" s="3"/>
      <c r="F214" s="3"/>
      <c r="G214" s="3"/>
      <c r="H214" s="3"/>
    </row>
    <row r="215" spans="4:8">
      <c r="D215" s="3"/>
      <c r="E215" s="3"/>
      <c r="F215" s="3"/>
      <c r="G215" s="3"/>
      <c r="H215" s="3"/>
    </row>
    <row r="216" spans="4:8">
      <c r="D216" s="3"/>
      <c r="E216" s="3"/>
      <c r="F216" s="3"/>
      <c r="G216" s="3"/>
      <c r="H216" s="3"/>
    </row>
    <row r="217" spans="4:8">
      <c r="D217" s="3"/>
      <c r="E217" s="3"/>
      <c r="F217" s="3"/>
      <c r="G217" s="3"/>
      <c r="H217" s="3"/>
    </row>
    <row r="218" spans="4:8">
      <c r="D218" s="3"/>
      <c r="E218" s="3"/>
      <c r="F218" s="3"/>
      <c r="G218" s="3"/>
      <c r="H218" s="3"/>
    </row>
    <row r="219" spans="4:8">
      <c r="D219" s="3"/>
      <c r="E219" s="3"/>
      <c r="F219" s="3"/>
      <c r="G219" s="3"/>
      <c r="H219" s="3"/>
    </row>
    <row r="220" spans="4:8">
      <c r="D220" s="3"/>
      <c r="E220" s="3"/>
      <c r="F220" s="3"/>
      <c r="G220" s="3"/>
      <c r="H220" s="3"/>
    </row>
    <row r="221" spans="4:8">
      <c r="D221" s="3"/>
      <c r="E221" s="3"/>
      <c r="F221" s="3"/>
      <c r="G221" s="3"/>
      <c r="H221" s="3"/>
    </row>
    <row r="222" spans="4:8">
      <c r="D222" s="3"/>
      <c r="E222" s="3"/>
      <c r="F222" s="3"/>
      <c r="G222" s="3"/>
      <c r="H222" s="3"/>
    </row>
    <row r="223" spans="4:8">
      <c r="D223" s="3"/>
      <c r="E223" s="3"/>
      <c r="F223" s="3"/>
      <c r="G223" s="3"/>
      <c r="H223" s="3"/>
    </row>
    <row r="224" spans="4:8">
      <c r="D224" s="3"/>
      <c r="E224" s="3"/>
      <c r="F224" s="3"/>
      <c r="G224" s="3"/>
      <c r="H224" s="3"/>
    </row>
    <row r="225" spans="4:8">
      <c r="D225" s="3"/>
      <c r="E225" s="3"/>
      <c r="F225" s="3"/>
      <c r="G225" s="3"/>
      <c r="H225" s="3"/>
    </row>
    <row r="226" spans="4:8">
      <c r="D226" s="3"/>
      <c r="E226" s="3"/>
      <c r="F226" s="3"/>
      <c r="G226" s="3"/>
      <c r="H226" s="3"/>
    </row>
    <row r="227" spans="4:8">
      <c r="D227" s="3"/>
      <c r="E227" s="3"/>
      <c r="F227" s="3"/>
      <c r="G227" s="3"/>
      <c r="H227" s="3"/>
    </row>
    <row r="228" spans="4:8">
      <c r="D228" s="3"/>
      <c r="E228" s="3"/>
      <c r="F228" s="3"/>
      <c r="G228" s="3"/>
      <c r="H228" s="3"/>
    </row>
    <row r="229" spans="4:8">
      <c r="D229" s="3"/>
      <c r="E229" s="3"/>
      <c r="F229" s="3"/>
      <c r="G229" s="3"/>
      <c r="H229" s="3"/>
    </row>
    <row r="230" spans="4:8">
      <c r="D230" s="3"/>
      <c r="E230" s="3"/>
      <c r="F230" s="3"/>
      <c r="G230" s="3"/>
      <c r="H230" s="3"/>
    </row>
    <row r="231" spans="4:8">
      <c r="D231" s="3"/>
      <c r="E231" s="3"/>
      <c r="F231" s="3"/>
      <c r="G231" s="3"/>
      <c r="H231" s="3"/>
    </row>
    <row r="232" spans="4:8">
      <c r="D232" s="3"/>
      <c r="E232" s="3"/>
      <c r="F232" s="3"/>
      <c r="G232" s="3"/>
      <c r="H232" s="3"/>
    </row>
    <row r="233" spans="4:8">
      <c r="D233" s="3"/>
      <c r="E233" s="3"/>
      <c r="F233" s="3"/>
      <c r="G233" s="3"/>
      <c r="H233" s="3"/>
    </row>
    <row r="234" spans="4:8">
      <c r="D234" s="3"/>
      <c r="E234" s="3"/>
      <c r="F234" s="3"/>
      <c r="G234" s="3"/>
      <c r="H234" s="3"/>
    </row>
    <row r="235" spans="4:8">
      <c r="D235" s="3"/>
      <c r="E235" s="3"/>
      <c r="F235" s="3"/>
      <c r="G235" s="3"/>
      <c r="H235" s="3"/>
    </row>
    <row r="236" spans="4:8">
      <c r="D236" s="3"/>
      <c r="E236" s="3"/>
      <c r="F236" s="3"/>
      <c r="G236" s="3"/>
      <c r="H236" s="3"/>
    </row>
    <row r="237" spans="4:8">
      <c r="D237" s="3"/>
      <c r="E237" s="3"/>
      <c r="F237" s="3"/>
      <c r="G237" s="3"/>
      <c r="H237" s="3"/>
    </row>
    <row r="238" spans="4:8">
      <c r="D238" s="3"/>
      <c r="E238" s="3"/>
      <c r="F238" s="3"/>
      <c r="G238" s="3"/>
      <c r="H238" s="3"/>
    </row>
    <row r="239" spans="4:8">
      <c r="D239" s="3"/>
      <c r="E239" s="3"/>
      <c r="F239" s="3"/>
      <c r="G239" s="3"/>
      <c r="H239" s="3"/>
    </row>
    <row r="240" spans="4:8">
      <c r="D240" s="2"/>
      <c r="E240" s="2"/>
      <c r="F240" s="2"/>
      <c r="G240" s="2"/>
      <c r="H240" s="2"/>
    </row>
    <row r="241" spans="4:8">
      <c r="D241" s="2"/>
      <c r="E241" s="2"/>
      <c r="F241" s="2"/>
      <c r="G241" s="2"/>
      <c r="H241" s="2"/>
    </row>
    <row r="242" spans="4:8">
      <c r="D242" s="2"/>
      <c r="E242" s="2"/>
      <c r="F242" s="2"/>
      <c r="G242" s="2"/>
      <c r="H242" s="2"/>
    </row>
    <row r="243" spans="4:8">
      <c r="D243" s="2"/>
      <c r="E243" s="2"/>
      <c r="F243" s="2"/>
      <c r="G243" s="2"/>
      <c r="H243" s="2"/>
    </row>
    <row r="244" spans="4:8">
      <c r="D244" s="2"/>
      <c r="E244" s="2"/>
      <c r="F244" s="2"/>
      <c r="G244" s="2"/>
      <c r="H244" s="2"/>
    </row>
    <row r="245" spans="4:8">
      <c r="D245" s="2"/>
      <c r="E245" s="2"/>
      <c r="F245" s="2"/>
      <c r="G245" s="2"/>
      <c r="H245" s="2"/>
    </row>
    <row r="246" spans="4:8">
      <c r="D246" s="2"/>
      <c r="E246" s="2"/>
      <c r="F246" s="2"/>
      <c r="G246" s="2"/>
      <c r="H246" s="2"/>
    </row>
    <row r="247" spans="4:8">
      <c r="D247" s="2"/>
      <c r="E247" s="2"/>
      <c r="F247" s="2"/>
      <c r="G247" s="2"/>
      <c r="H247" s="2"/>
    </row>
    <row r="248" spans="4:8">
      <c r="D248" s="2"/>
      <c r="E248" s="2"/>
      <c r="F248" s="2"/>
      <c r="G248" s="2"/>
      <c r="H248" s="2"/>
    </row>
    <row r="249" spans="4:8">
      <c r="D249" s="2"/>
      <c r="E249" s="2"/>
      <c r="F249" s="2"/>
      <c r="G249" s="2"/>
      <c r="H249" s="2"/>
    </row>
    <row r="250" spans="4:8">
      <c r="D250" s="2"/>
      <c r="E250" s="2"/>
      <c r="F250" s="2"/>
      <c r="G250" s="2"/>
      <c r="H250" s="2"/>
    </row>
    <row r="251" spans="4:8">
      <c r="D251" s="2"/>
      <c r="E251" s="2"/>
      <c r="F251" s="2"/>
      <c r="G251" s="2"/>
      <c r="H251" s="2"/>
    </row>
    <row r="252" spans="4:8">
      <c r="D252" s="2"/>
      <c r="E252" s="2"/>
      <c r="F252" s="2"/>
      <c r="G252" s="2"/>
      <c r="H252" s="2"/>
    </row>
    <row r="253" spans="4:8">
      <c r="D253" s="2"/>
      <c r="E253" s="2"/>
      <c r="F253" s="2"/>
      <c r="G253" s="2"/>
      <c r="H253" s="2"/>
    </row>
    <row r="254" spans="4:8">
      <c r="D254" s="2"/>
      <c r="E254" s="2"/>
      <c r="F254" s="2"/>
      <c r="G254" s="2"/>
      <c r="H254" s="2"/>
    </row>
    <row r="255" spans="4:8">
      <c r="D255" s="2"/>
      <c r="E255" s="2"/>
      <c r="F255" s="2"/>
      <c r="G255" s="2"/>
      <c r="H255" s="2"/>
    </row>
    <row r="256" spans="4:8">
      <c r="D256" s="2"/>
      <c r="E256" s="2"/>
      <c r="F256" s="2"/>
      <c r="G256" s="2"/>
      <c r="H256" s="2"/>
    </row>
    <row r="257" spans="4:8">
      <c r="D257" s="2"/>
      <c r="E257" s="2"/>
      <c r="F257" s="2"/>
      <c r="G257" s="2"/>
      <c r="H257" s="2"/>
    </row>
    <row r="258" spans="4:8">
      <c r="D258" s="2"/>
      <c r="E258" s="2"/>
      <c r="F258" s="2"/>
      <c r="G258" s="2"/>
      <c r="H258" s="2"/>
    </row>
    <row r="259" spans="4:8">
      <c r="D259" s="2"/>
      <c r="E259" s="2"/>
      <c r="F259" s="2"/>
      <c r="G259" s="2"/>
      <c r="H259" s="2"/>
    </row>
    <row r="260" spans="4:8">
      <c r="D260" s="2"/>
      <c r="E260" s="2"/>
      <c r="F260" s="2"/>
      <c r="G260" s="2"/>
      <c r="H260" s="2"/>
    </row>
    <row r="261" spans="4:8">
      <c r="D261" s="2"/>
      <c r="E261" s="2"/>
      <c r="F261" s="2"/>
      <c r="G261" s="2"/>
      <c r="H261" s="2"/>
    </row>
    <row r="262" spans="4:8">
      <c r="D262" s="2"/>
      <c r="E262" s="2"/>
      <c r="F262" s="2"/>
      <c r="G262" s="2"/>
      <c r="H262" s="2"/>
    </row>
    <row r="263" spans="4:8">
      <c r="D263" s="2"/>
      <c r="E263" s="2"/>
      <c r="F263" s="2"/>
      <c r="G263" s="2"/>
      <c r="H263" s="2"/>
    </row>
    <row r="264" spans="4:8">
      <c r="D264" s="2"/>
      <c r="E264" s="2"/>
      <c r="F264" s="2"/>
      <c r="G264" s="2"/>
      <c r="H264" s="2"/>
    </row>
    <row r="265" spans="4:8">
      <c r="D265" s="2"/>
      <c r="E265" s="2"/>
      <c r="F265" s="2"/>
      <c r="G265" s="2"/>
      <c r="H265" s="2"/>
    </row>
    <row r="266" spans="4:8">
      <c r="D266" s="2"/>
      <c r="E266" s="2"/>
      <c r="F266" s="2"/>
      <c r="G266" s="2"/>
      <c r="H266" s="2"/>
    </row>
    <row r="267" spans="4:8">
      <c r="D267" s="2"/>
      <c r="E267" s="2"/>
      <c r="F267" s="2"/>
      <c r="G267" s="2"/>
      <c r="H267" s="2"/>
    </row>
    <row r="268" spans="4:8">
      <c r="D268" s="2"/>
      <c r="E268" s="2"/>
      <c r="F268" s="2"/>
      <c r="G268" s="2"/>
      <c r="H268" s="2"/>
    </row>
    <row r="269" spans="4:8">
      <c r="D269" s="2"/>
      <c r="E269" s="2"/>
      <c r="F269" s="2"/>
      <c r="G269" s="2"/>
      <c r="H269" s="2"/>
    </row>
    <row r="270" spans="4:8">
      <c r="D270" s="2"/>
      <c r="E270" s="2"/>
      <c r="F270" s="2"/>
      <c r="G270" s="2"/>
      <c r="H270" s="2"/>
    </row>
    <row r="271" spans="4:8">
      <c r="D271" s="2"/>
      <c r="E271" s="2"/>
      <c r="F271" s="2"/>
      <c r="G271" s="2"/>
      <c r="H271" s="2"/>
    </row>
    <row r="272" spans="4:8">
      <c r="D272" s="2"/>
      <c r="E272" s="2"/>
      <c r="F272" s="2"/>
      <c r="G272" s="2"/>
      <c r="H272" s="2"/>
    </row>
    <row r="273" spans="4:8">
      <c r="D273" s="2"/>
      <c r="E273" s="2"/>
      <c r="F273" s="2"/>
      <c r="G273" s="2"/>
      <c r="H273" s="2"/>
    </row>
    <row r="274" spans="4:8">
      <c r="D274" s="2"/>
      <c r="E274" s="2"/>
      <c r="F274" s="2"/>
      <c r="G274" s="2"/>
      <c r="H274" s="2"/>
    </row>
    <row r="275" spans="4:8">
      <c r="D275" s="2"/>
      <c r="E275" s="2"/>
      <c r="F275" s="2"/>
      <c r="G275" s="2"/>
      <c r="H275" s="2"/>
    </row>
    <row r="276" spans="4:8">
      <c r="D276" s="2"/>
      <c r="E276" s="2"/>
      <c r="F276" s="2"/>
      <c r="G276" s="2"/>
      <c r="H276" s="2"/>
    </row>
    <row r="277" spans="4:8">
      <c r="D277" s="2"/>
      <c r="E277" s="2"/>
      <c r="F277" s="2"/>
      <c r="G277" s="2"/>
      <c r="H277" s="2"/>
    </row>
    <row r="278" spans="4:8">
      <c r="D278" s="2"/>
      <c r="E278" s="2"/>
      <c r="F278" s="2"/>
      <c r="G278" s="2"/>
      <c r="H278" s="2"/>
    </row>
    <row r="279" spans="4:8">
      <c r="D279" s="2"/>
      <c r="E279" s="2"/>
      <c r="F279" s="2"/>
      <c r="G279" s="2"/>
      <c r="H279" s="2"/>
    </row>
    <row r="280" spans="4:8">
      <c r="D280" s="2"/>
      <c r="E280" s="2"/>
      <c r="F280" s="2"/>
      <c r="G280" s="2"/>
      <c r="H280" s="2"/>
    </row>
    <row r="281" spans="4:8">
      <c r="D281" s="2"/>
      <c r="E281" s="2"/>
      <c r="F281" s="2"/>
      <c r="G281" s="2"/>
      <c r="H281" s="2"/>
    </row>
    <row r="282" spans="4:8">
      <c r="D282" s="2"/>
      <c r="E282" s="2"/>
      <c r="F282" s="2"/>
      <c r="G282" s="2"/>
      <c r="H282" s="2"/>
    </row>
    <row r="283" spans="4:8">
      <c r="D283" s="2"/>
      <c r="E283" s="2"/>
      <c r="F283" s="2"/>
      <c r="G283" s="2"/>
      <c r="H283" s="2"/>
    </row>
    <row r="284" spans="4:8">
      <c r="D284" s="2"/>
      <c r="E284" s="2"/>
      <c r="F284" s="2"/>
      <c r="G284" s="2"/>
      <c r="H284" s="2"/>
    </row>
    <row r="285" spans="4:8">
      <c r="D285" s="2"/>
      <c r="E285" s="2"/>
      <c r="F285" s="2"/>
      <c r="G285" s="2"/>
      <c r="H285" s="2"/>
    </row>
    <row r="286" spans="4:8">
      <c r="D286" s="2"/>
      <c r="E286" s="2"/>
      <c r="F286" s="2"/>
      <c r="G286" s="2"/>
      <c r="H286" s="2"/>
    </row>
    <row r="287" spans="4:8">
      <c r="D287" s="2"/>
      <c r="E287" s="2"/>
      <c r="F287" s="2"/>
      <c r="G287" s="2"/>
      <c r="H287" s="2"/>
    </row>
    <row r="288" spans="4:8">
      <c r="D288" s="2"/>
      <c r="E288" s="2"/>
      <c r="F288" s="2"/>
      <c r="G288" s="2"/>
      <c r="H288" s="2"/>
    </row>
    <row r="289" spans="4:8">
      <c r="D289" s="2"/>
      <c r="E289" s="2"/>
      <c r="F289" s="2"/>
      <c r="G289" s="2"/>
      <c r="H289" s="2"/>
    </row>
    <row r="290" spans="4:8">
      <c r="D290" s="2"/>
      <c r="E290" s="2"/>
      <c r="F290" s="2"/>
      <c r="G290" s="2"/>
      <c r="H290" s="2"/>
    </row>
    <row r="291" spans="4:8">
      <c r="D291" s="2"/>
      <c r="E291" s="2"/>
      <c r="F291" s="2"/>
      <c r="G291" s="2"/>
      <c r="H291" s="2"/>
    </row>
    <row r="292" spans="4:8">
      <c r="D292" s="2"/>
      <c r="E292" s="2"/>
      <c r="F292" s="2"/>
      <c r="G292" s="2"/>
      <c r="H292" s="2"/>
    </row>
    <row r="293" spans="4:8">
      <c r="D293" s="2"/>
      <c r="E293" s="2"/>
      <c r="F293" s="2"/>
      <c r="G293" s="2"/>
      <c r="H293" s="2"/>
    </row>
    <row r="294" spans="4:8">
      <c r="D294" s="2"/>
      <c r="E294" s="2"/>
      <c r="F294" s="2"/>
      <c r="G294" s="2"/>
      <c r="H294" s="2"/>
    </row>
    <row r="295" spans="4:8">
      <c r="D295" s="2"/>
      <c r="E295" s="2"/>
      <c r="F295" s="2"/>
      <c r="G295" s="2"/>
      <c r="H295" s="2"/>
    </row>
    <row r="296" spans="4:8">
      <c r="D296" s="2"/>
      <c r="E296" s="2"/>
      <c r="F296" s="2"/>
      <c r="G296" s="2"/>
      <c r="H296" s="2"/>
    </row>
    <row r="297" spans="4:8">
      <c r="D297" s="2"/>
      <c r="E297" s="2"/>
      <c r="F297" s="2"/>
      <c r="G297" s="2"/>
      <c r="H297" s="2"/>
    </row>
    <row r="298" spans="4:8">
      <c r="D298" s="2"/>
      <c r="E298" s="2"/>
      <c r="F298" s="2"/>
      <c r="G298" s="2"/>
      <c r="H298" s="2"/>
    </row>
    <row r="299" spans="4:8">
      <c r="D299" s="2"/>
      <c r="E299" s="2"/>
      <c r="F299" s="2"/>
      <c r="G299" s="2"/>
      <c r="H299" s="2"/>
    </row>
    <row r="300" spans="4:8">
      <c r="D300" s="2"/>
      <c r="E300" s="2"/>
      <c r="F300" s="2"/>
      <c r="G300" s="2"/>
      <c r="H300" s="2"/>
    </row>
    <row r="301" spans="4:8">
      <c r="D301" s="2"/>
      <c r="E301" s="2"/>
      <c r="F301" s="2"/>
      <c r="G301" s="2"/>
      <c r="H301" s="2"/>
    </row>
    <row r="302" spans="4:8">
      <c r="D302" s="2"/>
      <c r="E302" s="2"/>
      <c r="F302" s="2"/>
      <c r="G302" s="2"/>
      <c r="H302" s="2"/>
    </row>
    <row r="303" spans="4:8">
      <c r="D303" s="2"/>
      <c r="E303" s="2"/>
      <c r="F303" s="2"/>
      <c r="G303" s="2"/>
      <c r="H303" s="2"/>
    </row>
    <row r="304" spans="4:8">
      <c r="D304" s="2"/>
      <c r="E304" s="2"/>
      <c r="F304" s="2"/>
      <c r="G304" s="2"/>
      <c r="H304" s="2"/>
    </row>
    <row r="305" spans="4:8">
      <c r="D305" s="2"/>
      <c r="E305" s="2"/>
      <c r="F305" s="2"/>
      <c r="G305" s="2"/>
      <c r="H305" s="2"/>
    </row>
    <row r="306" spans="4:8">
      <c r="D306" s="2"/>
      <c r="E306" s="2"/>
      <c r="F306" s="2"/>
      <c r="G306" s="2"/>
      <c r="H306" s="2"/>
    </row>
    <row r="307" spans="4:8">
      <c r="D307" s="2"/>
      <c r="E307" s="2"/>
      <c r="F307" s="2"/>
      <c r="G307" s="2"/>
      <c r="H307" s="2"/>
    </row>
    <row r="308" spans="4:8">
      <c r="D308" s="2"/>
      <c r="E308" s="2"/>
      <c r="F308" s="2"/>
      <c r="G308" s="2"/>
      <c r="H308" s="2"/>
    </row>
    <row r="309" spans="4:8">
      <c r="D309" s="2"/>
      <c r="E309" s="2"/>
      <c r="F309" s="2"/>
      <c r="G309" s="2"/>
      <c r="H309" s="2"/>
    </row>
    <row r="310" spans="4:8">
      <c r="D310" s="2"/>
      <c r="E310" s="2"/>
      <c r="F310" s="2"/>
      <c r="G310" s="2"/>
      <c r="H310" s="2"/>
    </row>
    <row r="311" spans="4:8">
      <c r="D311" s="2"/>
      <c r="E311" s="2"/>
      <c r="F311" s="2"/>
      <c r="G311" s="2"/>
      <c r="H311" s="2"/>
    </row>
    <row r="312" spans="4:8">
      <c r="D312" s="2"/>
      <c r="E312" s="2"/>
      <c r="F312" s="2"/>
      <c r="G312" s="2"/>
      <c r="H312" s="2"/>
    </row>
    <row r="313" spans="4:8">
      <c r="D313" s="2"/>
      <c r="E313" s="2"/>
      <c r="F313" s="2"/>
      <c r="G313" s="2"/>
      <c r="H313" s="2"/>
    </row>
    <row r="314" spans="4:8">
      <c r="D314" s="2"/>
      <c r="E314" s="2"/>
      <c r="F314" s="2"/>
      <c r="G314" s="2"/>
      <c r="H314" s="2"/>
    </row>
    <row r="315" spans="4:8">
      <c r="D315" s="2"/>
      <c r="E315" s="2"/>
      <c r="F315" s="2"/>
      <c r="G315" s="2"/>
      <c r="H315" s="2"/>
    </row>
    <row r="316" spans="4:8">
      <c r="D316" s="2"/>
      <c r="E316" s="2"/>
      <c r="F316" s="2"/>
      <c r="G316" s="2"/>
      <c r="H316" s="2"/>
    </row>
    <row r="317" spans="4:8">
      <c r="D317" s="2"/>
      <c r="E317" s="2"/>
      <c r="F317" s="2"/>
      <c r="G317" s="2"/>
      <c r="H317" s="2"/>
    </row>
    <row r="318" spans="4:8">
      <c r="D318" s="2"/>
      <c r="E318" s="2"/>
      <c r="F318" s="2"/>
      <c r="G318" s="2"/>
      <c r="H318" s="2"/>
    </row>
    <row r="319" spans="4:8">
      <c r="D319" s="2"/>
      <c r="E319" s="2"/>
      <c r="F319" s="2"/>
      <c r="G319" s="2"/>
      <c r="H319" s="2"/>
    </row>
    <row r="320" spans="4:8">
      <c r="D320" s="2"/>
      <c r="E320" s="2"/>
      <c r="F320" s="2"/>
      <c r="G320" s="2"/>
      <c r="H320" s="2"/>
    </row>
    <row r="321" spans="4:8">
      <c r="D321" s="2"/>
      <c r="E321" s="2"/>
      <c r="F321" s="2"/>
      <c r="G321" s="2"/>
      <c r="H321" s="2"/>
    </row>
    <row r="322" spans="4:8">
      <c r="D322" s="2"/>
      <c r="E322" s="2"/>
      <c r="F322" s="2"/>
      <c r="G322" s="2"/>
      <c r="H322" s="2"/>
    </row>
    <row r="323" spans="4:8">
      <c r="D323" s="2"/>
      <c r="E323" s="2"/>
      <c r="F323" s="2"/>
      <c r="G323" s="2"/>
      <c r="H323" s="2"/>
    </row>
    <row r="324" spans="4:8">
      <c r="D324" s="2"/>
      <c r="E324" s="2"/>
      <c r="F324" s="2"/>
      <c r="G324" s="2"/>
      <c r="H324" s="2"/>
    </row>
    <row r="325" spans="4:8">
      <c r="D325" s="2"/>
      <c r="E325" s="2"/>
      <c r="F325" s="2"/>
      <c r="G325" s="2"/>
      <c r="H325" s="2"/>
    </row>
    <row r="326" spans="4:8">
      <c r="D326" s="2"/>
      <c r="E326" s="2"/>
      <c r="F326" s="2"/>
      <c r="G326" s="2"/>
      <c r="H326" s="2"/>
    </row>
    <row r="327" spans="4:8">
      <c r="D327" s="2"/>
      <c r="E327" s="2"/>
      <c r="F327" s="2"/>
      <c r="G327" s="2"/>
      <c r="H327" s="2"/>
    </row>
    <row r="328" spans="4:8">
      <c r="D328" s="2"/>
      <c r="E328" s="2"/>
      <c r="F328" s="2"/>
      <c r="G328" s="2"/>
      <c r="H328" s="2"/>
    </row>
    <row r="329" spans="4:8">
      <c r="D329" s="2"/>
      <c r="E329" s="2"/>
      <c r="F329" s="2"/>
      <c r="G329" s="2"/>
      <c r="H329" s="2"/>
    </row>
    <row r="330" spans="4:8">
      <c r="D330" s="2"/>
      <c r="E330" s="2"/>
      <c r="F330" s="2"/>
      <c r="G330" s="2"/>
      <c r="H330" s="2"/>
    </row>
    <row r="331" spans="4:8">
      <c r="D331" s="2"/>
      <c r="E331" s="2"/>
      <c r="F331" s="2"/>
      <c r="G331" s="2"/>
      <c r="H331" s="2"/>
    </row>
    <row r="332" spans="4:8">
      <c r="D332" s="2"/>
      <c r="E332" s="2"/>
      <c r="F332" s="2"/>
      <c r="G332" s="2"/>
      <c r="H332" s="2"/>
    </row>
    <row r="333" spans="4:8">
      <c r="D333" s="2"/>
      <c r="E333" s="2"/>
      <c r="F333" s="2"/>
      <c r="G333" s="2"/>
      <c r="H333" s="2"/>
    </row>
    <row r="334" spans="4:8">
      <c r="D334" s="2"/>
      <c r="E334" s="2"/>
      <c r="F334" s="2"/>
      <c r="G334" s="2"/>
      <c r="H334" s="2"/>
    </row>
    <row r="335" spans="4:8">
      <c r="D335" s="2"/>
      <c r="E335" s="2"/>
      <c r="F335" s="2"/>
      <c r="G335" s="2"/>
      <c r="H335" s="2"/>
    </row>
    <row r="336" spans="4:8">
      <c r="D336" s="2"/>
      <c r="E336" s="2"/>
      <c r="F336" s="2"/>
      <c r="G336" s="2"/>
      <c r="H336" s="2"/>
    </row>
    <row r="337" spans="4:8">
      <c r="D337" s="2"/>
      <c r="E337" s="2"/>
      <c r="F337" s="2"/>
      <c r="G337" s="2"/>
      <c r="H337" s="2"/>
    </row>
    <row r="338" spans="4:8">
      <c r="D338" s="2"/>
      <c r="E338" s="2"/>
      <c r="F338" s="2"/>
      <c r="G338" s="2"/>
      <c r="H338" s="2"/>
    </row>
    <row r="339" spans="4:8">
      <c r="D339" s="2"/>
      <c r="E339" s="2"/>
      <c r="F339" s="2"/>
      <c r="G339" s="2"/>
      <c r="H339" s="2"/>
    </row>
    <row r="340" spans="4:8">
      <c r="D340" s="2"/>
      <c r="E340" s="2"/>
      <c r="F340" s="2"/>
      <c r="G340" s="2"/>
      <c r="H340" s="2"/>
    </row>
    <row r="341" spans="4:8">
      <c r="D341" s="2"/>
      <c r="E341" s="2"/>
      <c r="F341" s="2"/>
      <c r="G341" s="2"/>
      <c r="H341" s="2"/>
    </row>
    <row r="342" spans="4:8">
      <c r="D342" s="2"/>
      <c r="E342" s="2"/>
      <c r="F342" s="2"/>
      <c r="G342" s="2"/>
      <c r="H342" s="2"/>
    </row>
    <row r="343" spans="4:8">
      <c r="D343" s="2"/>
      <c r="E343" s="2"/>
      <c r="F343" s="2"/>
      <c r="G343" s="2"/>
      <c r="H343" s="2"/>
    </row>
    <row r="344" spans="4:8">
      <c r="D344" s="2"/>
      <c r="E344" s="2"/>
      <c r="F344" s="2"/>
      <c r="G344" s="2"/>
      <c r="H344" s="2"/>
    </row>
    <row r="345" spans="4:8">
      <c r="D345" s="2"/>
      <c r="E345" s="2"/>
      <c r="F345" s="2"/>
      <c r="G345" s="2"/>
      <c r="H345" s="2"/>
    </row>
    <row r="346" spans="4:8">
      <c r="D346" s="2"/>
      <c r="E346" s="2"/>
      <c r="F346" s="2"/>
      <c r="G346" s="2"/>
      <c r="H346" s="2"/>
    </row>
    <row r="347" spans="4:8">
      <c r="D347" s="2"/>
      <c r="E347" s="2"/>
      <c r="F347" s="2"/>
      <c r="G347" s="2"/>
      <c r="H347" s="2"/>
    </row>
    <row r="348" spans="4:8">
      <c r="D348" s="2"/>
      <c r="E348" s="2"/>
      <c r="F348" s="2"/>
      <c r="G348" s="2"/>
      <c r="H348" s="2"/>
    </row>
    <row r="349" spans="4:8">
      <c r="D349" s="2"/>
      <c r="E349" s="2"/>
      <c r="F349" s="2"/>
      <c r="G349" s="2"/>
      <c r="H349" s="2"/>
    </row>
    <row r="350" spans="4:8">
      <c r="D350" s="2"/>
      <c r="E350" s="2"/>
      <c r="F350" s="2"/>
      <c r="G350" s="2"/>
      <c r="H350" s="2"/>
    </row>
    <row r="351" spans="4:8">
      <c r="D351" s="2"/>
      <c r="E351" s="2"/>
      <c r="F351" s="2"/>
      <c r="G351" s="2"/>
      <c r="H351" s="2"/>
    </row>
    <row r="352" spans="4:8">
      <c r="D352" s="2"/>
      <c r="E352" s="2"/>
      <c r="F352" s="2"/>
      <c r="G352" s="2"/>
      <c r="H352" s="2"/>
    </row>
    <row r="353" spans="4:8">
      <c r="D353" s="2"/>
      <c r="E353" s="2"/>
      <c r="F353" s="2"/>
      <c r="G353" s="2"/>
      <c r="H353" s="2"/>
    </row>
    <row r="354" spans="4:8">
      <c r="D354" s="2"/>
      <c r="E354" s="2"/>
      <c r="F354" s="2"/>
      <c r="G354" s="2"/>
      <c r="H354" s="2"/>
    </row>
    <row r="355" spans="4:8">
      <c r="D355" s="2"/>
      <c r="E355" s="2"/>
      <c r="F355" s="2"/>
      <c r="G355" s="2"/>
      <c r="H355" s="2"/>
    </row>
    <row r="356" spans="4:8">
      <c r="D356" s="2"/>
      <c r="E356" s="2"/>
      <c r="F356" s="2"/>
      <c r="G356" s="2"/>
      <c r="H356" s="2"/>
    </row>
    <row r="357" spans="4:8">
      <c r="D357" s="2"/>
      <c r="E357" s="2"/>
      <c r="F357" s="2"/>
      <c r="G357" s="2"/>
      <c r="H357" s="2"/>
    </row>
    <row r="358" spans="4:8">
      <c r="D358" s="2"/>
      <c r="E358" s="2"/>
      <c r="F358" s="2"/>
      <c r="G358" s="2"/>
      <c r="H358" s="2"/>
    </row>
    <row r="359" spans="4:8">
      <c r="D359" s="2"/>
      <c r="E359" s="2"/>
      <c r="F359" s="2"/>
      <c r="G359" s="2"/>
      <c r="H359" s="2"/>
    </row>
    <row r="360" spans="4:8">
      <c r="D360" s="2"/>
      <c r="E360" s="2"/>
      <c r="F360" s="2"/>
      <c r="G360" s="2"/>
      <c r="H360" s="2"/>
    </row>
    <row r="361" spans="4:8">
      <c r="D361" s="2"/>
      <c r="E361" s="2"/>
      <c r="F361" s="2"/>
      <c r="G361" s="2"/>
      <c r="H361" s="2"/>
    </row>
    <row r="362" spans="4:8">
      <c r="D362" s="2"/>
      <c r="E362" s="2"/>
      <c r="F362" s="2"/>
      <c r="G362" s="2"/>
      <c r="H362" s="2"/>
    </row>
    <row r="363" spans="4:8">
      <c r="D363" s="2"/>
      <c r="E363" s="2"/>
      <c r="F363" s="2"/>
      <c r="G363" s="2"/>
      <c r="H363" s="2"/>
    </row>
    <row r="364" spans="4:8">
      <c r="D364" s="2"/>
      <c r="E364" s="2"/>
      <c r="F364" s="2"/>
      <c r="G364" s="2"/>
      <c r="H364" s="2"/>
    </row>
    <row r="365" spans="4:8">
      <c r="D365" s="2"/>
      <c r="E365" s="2"/>
      <c r="F365" s="2"/>
      <c r="G365" s="2"/>
      <c r="H365" s="2"/>
    </row>
    <row r="366" spans="4:8">
      <c r="D366" s="2"/>
      <c r="E366" s="2"/>
      <c r="F366" s="2"/>
      <c r="G366" s="2"/>
      <c r="H366" s="2"/>
    </row>
    <row r="367" spans="4:8">
      <c r="D367" s="2"/>
      <c r="E367" s="2"/>
      <c r="F367" s="2"/>
      <c r="G367" s="2"/>
      <c r="H367" s="2"/>
    </row>
    <row r="368" spans="4:8">
      <c r="D368" s="2"/>
      <c r="E368" s="2"/>
      <c r="F368" s="2"/>
      <c r="G368" s="2"/>
      <c r="H368" s="2"/>
    </row>
    <row r="369" spans="4:8">
      <c r="D369" s="2"/>
      <c r="E369" s="2"/>
      <c r="F369" s="2"/>
      <c r="G369" s="2"/>
      <c r="H369" s="2"/>
    </row>
    <row r="370" spans="4:8">
      <c r="D370" s="2"/>
      <c r="E370" s="2"/>
      <c r="F370" s="2"/>
      <c r="G370" s="2"/>
      <c r="H370" s="2"/>
    </row>
    <row r="371" spans="4:8">
      <c r="D371" s="2"/>
      <c r="E371" s="2"/>
      <c r="F371" s="2"/>
      <c r="G371" s="2"/>
      <c r="H371" s="2"/>
    </row>
    <row r="372" spans="4:8">
      <c r="D372" s="2"/>
      <c r="E372" s="2"/>
      <c r="F372" s="2"/>
      <c r="G372" s="2"/>
      <c r="H372" s="2"/>
    </row>
    <row r="373" spans="4:8">
      <c r="D373" s="2"/>
      <c r="E373" s="2"/>
      <c r="F373" s="2"/>
      <c r="G373" s="2"/>
      <c r="H373" s="2"/>
    </row>
    <row r="374" spans="4:8">
      <c r="D374" s="2"/>
      <c r="E374" s="2"/>
      <c r="F374" s="2"/>
      <c r="G374" s="2"/>
      <c r="H374" s="2"/>
    </row>
    <row r="375" spans="4:8">
      <c r="D375" s="2"/>
      <c r="E375" s="2"/>
      <c r="F375" s="2"/>
      <c r="G375" s="2"/>
      <c r="H375" s="2"/>
    </row>
    <row r="376" spans="4:8">
      <c r="D376" s="2"/>
      <c r="E376" s="2"/>
      <c r="F376" s="2"/>
      <c r="G376" s="2"/>
      <c r="H376" s="2"/>
    </row>
    <row r="377" spans="4:8">
      <c r="D377" s="2"/>
      <c r="E377" s="2"/>
      <c r="F377" s="2"/>
      <c r="G377" s="2"/>
      <c r="H377" s="2"/>
    </row>
    <row r="378" spans="4:8">
      <c r="D378" s="2"/>
      <c r="E378" s="2"/>
      <c r="F378" s="2"/>
      <c r="G378" s="2"/>
      <c r="H378" s="2"/>
    </row>
    <row r="379" spans="4:8">
      <c r="D379" s="2"/>
      <c r="E379" s="2"/>
      <c r="F379" s="2"/>
      <c r="G379" s="2"/>
      <c r="H379" s="2"/>
    </row>
    <row r="380" spans="4:8">
      <c r="D380" s="2"/>
      <c r="E380" s="2"/>
      <c r="F380" s="2"/>
      <c r="G380" s="2"/>
      <c r="H380" s="2"/>
    </row>
    <row r="381" spans="4:8">
      <c r="D381" s="2"/>
      <c r="E381" s="2"/>
      <c r="F381" s="2"/>
      <c r="G381" s="2"/>
      <c r="H381" s="2"/>
    </row>
    <row r="382" spans="4:8">
      <c r="D382" s="2"/>
      <c r="E382" s="2"/>
      <c r="F382" s="2"/>
      <c r="G382" s="2"/>
      <c r="H382" s="2"/>
    </row>
    <row r="383" spans="4:8">
      <c r="D383" s="2"/>
      <c r="E383" s="2"/>
      <c r="F383" s="2"/>
      <c r="G383" s="2"/>
      <c r="H383" s="2"/>
    </row>
    <row r="384" spans="4:8">
      <c r="D384" s="2"/>
      <c r="E384" s="2"/>
      <c r="F384" s="2"/>
      <c r="G384" s="2"/>
      <c r="H384" s="2"/>
    </row>
    <row r="385" spans="4:8">
      <c r="D385" s="2"/>
      <c r="E385" s="2"/>
      <c r="F385" s="2"/>
      <c r="G385" s="2"/>
      <c r="H385" s="2"/>
    </row>
    <row r="386" spans="4:8">
      <c r="D386" s="2"/>
      <c r="E386" s="2"/>
      <c r="F386" s="2"/>
      <c r="G386" s="2"/>
      <c r="H386" s="2"/>
    </row>
    <row r="387" spans="4:8">
      <c r="D387" s="2"/>
      <c r="E387" s="2"/>
      <c r="F387" s="2"/>
      <c r="G387" s="2"/>
      <c r="H387" s="2"/>
    </row>
    <row r="388" spans="4:8">
      <c r="D388" s="2"/>
      <c r="E388" s="2"/>
      <c r="F388" s="2"/>
      <c r="G388" s="2"/>
      <c r="H388" s="2"/>
    </row>
    <row r="389" spans="4:8">
      <c r="D389" s="2"/>
      <c r="E389" s="2"/>
      <c r="F389" s="2"/>
      <c r="G389" s="2"/>
      <c r="H389" s="2"/>
    </row>
    <row r="390" spans="4:8">
      <c r="D390" s="2"/>
      <c r="E390" s="2"/>
      <c r="F390" s="2"/>
      <c r="G390" s="2"/>
      <c r="H390" s="2"/>
    </row>
    <row r="391" spans="4:8">
      <c r="D391" s="2"/>
      <c r="E391" s="2"/>
      <c r="F391" s="2"/>
      <c r="G391" s="2"/>
      <c r="H391" s="2"/>
    </row>
    <row r="392" spans="4:8">
      <c r="D392" s="2"/>
      <c r="E392" s="2"/>
      <c r="F392" s="2"/>
      <c r="G392" s="2"/>
      <c r="H392" s="2"/>
    </row>
    <row r="393" spans="4:8">
      <c r="D393" s="2"/>
      <c r="E393" s="2"/>
      <c r="F393" s="2"/>
      <c r="G393" s="2"/>
      <c r="H393" s="2"/>
    </row>
    <row r="394" spans="4:8">
      <c r="D394" s="2"/>
      <c r="E394" s="2"/>
      <c r="F394" s="2"/>
      <c r="G394" s="2"/>
      <c r="H394" s="2"/>
    </row>
    <row r="395" spans="4:8">
      <c r="D395" s="2"/>
      <c r="E395" s="2"/>
      <c r="F395" s="2"/>
      <c r="G395" s="2"/>
      <c r="H395" s="2"/>
    </row>
    <row r="396" spans="4:8">
      <c r="D396" s="2"/>
      <c r="E396" s="2"/>
      <c r="F396" s="2"/>
      <c r="G396" s="2"/>
      <c r="H396" s="2"/>
    </row>
    <row r="397" spans="4:8">
      <c r="D397" s="2"/>
      <c r="E397" s="2"/>
      <c r="F397" s="2"/>
      <c r="G397" s="2"/>
      <c r="H397" s="2"/>
    </row>
    <row r="398" spans="4:8">
      <c r="D398" s="2"/>
      <c r="E398" s="2"/>
      <c r="F398" s="2"/>
      <c r="G398" s="2"/>
      <c r="H398" s="2"/>
    </row>
    <row r="399" spans="4:8">
      <c r="D399" s="2"/>
      <c r="E399" s="2"/>
      <c r="F399" s="2"/>
      <c r="G399" s="2"/>
      <c r="H399" s="2"/>
    </row>
    <row r="400" spans="4:8">
      <c r="D400" s="2"/>
      <c r="E400" s="2"/>
      <c r="F400" s="2"/>
      <c r="G400" s="2"/>
      <c r="H400" s="2"/>
    </row>
    <row r="401" spans="4:8">
      <c r="D401" s="2"/>
      <c r="E401" s="2"/>
      <c r="F401" s="2"/>
      <c r="G401" s="2"/>
      <c r="H401" s="2"/>
    </row>
    <row r="402" spans="4:8">
      <c r="D402" s="2"/>
      <c r="E402" s="2"/>
      <c r="F402" s="2"/>
      <c r="G402" s="2"/>
      <c r="H402" s="2"/>
    </row>
    <row r="403" spans="4:8">
      <c r="D403" s="2"/>
      <c r="E403" s="2"/>
      <c r="F403" s="2"/>
      <c r="G403" s="2"/>
      <c r="H403" s="2"/>
    </row>
    <row r="404" spans="4:8">
      <c r="D404" s="2"/>
      <c r="E404" s="2"/>
      <c r="F404" s="2"/>
      <c r="G404" s="2"/>
      <c r="H404" s="2"/>
    </row>
    <row r="405" spans="4:8">
      <c r="D405" s="2"/>
      <c r="E405" s="2"/>
      <c r="F405" s="2"/>
      <c r="G405" s="2"/>
      <c r="H405" s="2"/>
    </row>
    <row r="406" spans="4:8">
      <c r="D406" s="2"/>
      <c r="E406" s="2"/>
      <c r="F406" s="2"/>
      <c r="G406" s="2"/>
      <c r="H406" s="2"/>
    </row>
    <row r="407" spans="4:8">
      <c r="D407" s="2"/>
      <c r="E407" s="2"/>
      <c r="F407" s="2"/>
      <c r="G407" s="2"/>
      <c r="H407" s="2"/>
    </row>
    <row r="408" spans="4:8">
      <c r="D408" s="2"/>
      <c r="E408" s="2"/>
      <c r="F408" s="2"/>
      <c r="G408" s="2"/>
      <c r="H408" s="2"/>
    </row>
    <row r="409" spans="4:8">
      <c r="D409" s="2"/>
      <c r="E409" s="2"/>
      <c r="F409" s="2"/>
      <c r="G409" s="2"/>
      <c r="H409" s="2"/>
    </row>
    <row r="410" spans="4:8">
      <c r="D410" s="2"/>
      <c r="E410" s="2"/>
      <c r="F410" s="2"/>
      <c r="G410" s="2"/>
      <c r="H410" s="2"/>
    </row>
    <row r="411" spans="4:8">
      <c r="D411" s="2"/>
      <c r="E411" s="2"/>
      <c r="F411" s="2"/>
      <c r="G411" s="2"/>
      <c r="H411" s="2"/>
    </row>
    <row r="412" spans="4:8">
      <c r="D412" s="2"/>
      <c r="E412" s="2"/>
      <c r="F412" s="2"/>
      <c r="G412" s="2"/>
      <c r="H412" s="2"/>
    </row>
    <row r="413" spans="4:8">
      <c r="D413" s="2"/>
      <c r="E413" s="2"/>
      <c r="F413" s="2"/>
      <c r="G413" s="2"/>
      <c r="H413" s="2"/>
    </row>
    <row r="414" spans="4:8">
      <c r="D414" s="2"/>
      <c r="E414" s="2"/>
      <c r="F414" s="2"/>
      <c r="G414" s="2"/>
      <c r="H414" s="2"/>
    </row>
    <row r="415" spans="4:8">
      <c r="D415" s="2"/>
      <c r="E415" s="2"/>
      <c r="F415" s="2"/>
      <c r="G415" s="2"/>
      <c r="H415" s="2"/>
    </row>
    <row r="416" spans="4:8">
      <c r="D416" s="2"/>
      <c r="E416" s="2"/>
      <c r="F416" s="2"/>
      <c r="G416" s="2"/>
      <c r="H416" s="2"/>
    </row>
    <row r="417" spans="4:8">
      <c r="D417" s="2"/>
      <c r="E417" s="2"/>
      <c r="F417" s="2"/>
      <c r="G417" s="2"/>
      <c r="H417" s="2"/>
    </row>
    <row r="418" spans="4:8">
      <c r="D418" s="2"/>
      <c r="E418" s="2"/>
      <c r="F418" s="2"/>
      <c r="G418" s="2"/>
      <c r="H418" s="2"/>
    </row>
    <row r="419" spans="4:8">
      <c r="D419" s="2"/>
      <c r="E419" s="2"/>
      <c r="F419" s="2"/>
      <c r="G419" s="2"/>
      <c r="H419" s="2"/>
    </row>
    <row r="420" spans="4:8">
      <c r="D420" s="2"/>
      <c r="E420" s="2"/>
      <c r="F420" s="2"/>
      <c r="G420" s="2"/>
      <c r="H420" s="2"/>
    </row>
    <row r="421" spans="4:8">
      <c r="D421" s="2"/>
      <c r="E421" s="2"/>
      <c r="F421" s="2"/>
      <c r="G421" s="2"/>
      <c r="H421" s="2"/>
    </row>
    <row r="422" spans="4:8">
      <c r="D422" s="2"/>
      <c r="E422" s="2"/>
      <c r="F422" s="2"/>
      <c r="G422" s="2"/>
      <c r="H422" s="2"/>
    </row>
    <row r="423" spans="4:8">
      <c r="D423" s="2"/>
      <c r="E423" s="2"/>
      <c r="F423" s="2"/>
      <c r="G423" s="2"/>
      <c r="H423" s="2"/>
    </row>
    <row r="424" spans="4:8">
      <c r="D424" s="2"/>
      <c r="E424" s="2"/>
      <c r="F424" s="2"/>
      <c r="G424" s="2"/>
      <c r="H424" s="2"/>
    </row>
    <row r="425" spans="4:8">
      <c r="D425" s="2"/>
      <c r="E425" s="2"/>
      <c r="F425" s="2"/>
      <c r="G425" s="2"/>
      <c r="H425" s="2"/>
    </row>
    <row r="426" spans="4:8">
      <c r="D426" s="2"/>
      <c r="E426" s="2"/>
      <c r="F426" s="2"/>
      <c r="G426" s="2"/>
      <c r="H426" s="2"/>
    </row>
    <row r="427" spans="4:8">
      <c r="D427" s="2"/>
      <c r="E427" s="2"/>
      <c r="F427" s="2"/>
      <c r="G427" s="2"/>
      <c r="H427" s="2"/>
    </row>
    <row r="428" spans="4:8">
      <c r="D428" s="2"/>
      <c r="E428" s="2"/>
      <c r="F428" s="2"/>
      <c r="G428" s="2"/>
      <c r="H428" s="2"/>
    </row>
    <row r="429" spans="4:8">
      <c r="D429" s="2"/>
      <c r="E429" s="2"/>
      <c r="F429" s="2"/>
      <c r="G429" s="2"/>
      <c r="H429" s="2"/>
    </row>
    <row r="430" spans="4:8">
      <c r="D430" s="2"/>
      <c r="E430" s="2"/>
      <c r="F430" s="2"/>
      <c r="G430" s="2"/>
      <c r="H430" s="2"/>
    </row>
    <row r="431" spans="4:8">
      <c r="D431" s="2"/>
      <c r="E431" s="2"/>
      <c r="F431" s="2"/>
      <c r="G431" s="2"/>
      <c r="H431" s="2"/>
    </row>
    <row r="432" spans="4:8">
      <c r="D432" s="2"/>
      <c r="E432" s="2"/>
      <c r="F432" s="2"/>
      <c r="G432" s="2"/>
      <c r="H432" s="2"/>
    </row>
    <row r="433" spans="4:8">
      <c r="D433" s="2"/>
      <c r="E433" s="2"/>
      <c r="F433" s="2"/>
      <c r="G433" s="2"/>
      <c r="H433" s="2"/>
    </row>
  </sheetData>
  <mergeCells count="11">
    <mergeCell ref="A30:I30"/>
    <mergeCell ref="A10:A17"/>
    <mergeCell ref="A19:A28"/>
    <mergeCell ref="F8:G8"/>
    <mergeCell ref="D8:E8"/>
    <mergeCell ref="H8:I8"/>
    <mergeCell ref="D1:H1"/>
    <mergeCell ref="D2:H2"/>
    <mergeCell ref="D5:H5"/>
    <mergeCell ref="D6:H6"/>
    <mergeCell ref="D3:E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072E-1AB0-4686-9AEA-D92C2EF6A0FE}">
  <sheetPr>
    <tabColor rgb="FF00B0F0"/>
  </sheetPr>
  <dimension ref="A1:L42"/>
  <sheetViews>
    <sheetView topLeftCell="A3" workbookViewId="0">
      <selection activeCell="E39" sqref="E39"/>
    </sheetView>
  </sheetViews>
  <sheetFormatPr baseColWidth="10" defaultRowHeight="14.6"/>
  <cols>
    <col min="2" max="2" width="12.69140625" customWidth="1"/>
    <col min="3" max="3" width="39.4609375" customWidth="1"/>
    <col min="4" max="4" width="11.4609375" bestFit="1" customWidth="1"/>
    <col min="5" max="5" width="13.69140625" bestFit="1" customWidth="1"/>
    <col min="7" max="7" width="11.23046875" bestFit="1" customWidth="1"/>
    <col min="9" max="9" width="96.69140625" bestFit="1" customWidth="1"/>
    <col min="10" max="10" width="10.3046875" bestFit="1" customWidth="1"/>
    <col min="11" max="11" width="148.765625" bestFit="1" customWidth="1"/>
  </cols>
  <sheetData>
    <row r="1" spans="1:12">
      <c r="A1" s="93"/>
      <c r="B1" s="93"/>
      <c r="C1" s="93"/>
      <c r="D1" s="93"/>
      <c r="E1" s="93"/>
      <c r="F1" s="93"/>
      <c r="G1" s="94"/>
      <c r="H1" s="93"/>
      <c r="I1" s="95"/>
      <c r="J1" s="95"/>
      <c r="K1" s="95"/>
      <c r="L1" s="95"/>
    </row>
    <row r="2" spans="1:12" ht="18.45">
      <c r="A2" s="93"/>
      <c r="B2" s="273" t="s">
        <v>149</v>
      </c>
      <c r="C2" s="273"/>
      <c r="D2" s="273"/>
      <c r="E2" s="273"/>
      <c r="F2" s="93"/>
      <c r="G2" s="94"/>
      <c r="H2" s="93"/>
      <c r="I2" s="95"/>
      <c r="J2" s="95"/>
      <c r="K2" s="95"/>
      <c r="L2" s="95"/>
    </row>
    <row r="3" spans="1:12" ht="18.45">
      <c r="A3" s="93"/>
      <c r="B3" s="273" t="s">
        <v>150</v>
      </c>
      <c r="C3" s="273"/>
      <c r="D3" s="273"/>
      <c r="E3" s="273"/>
      <c r="F3" s="93"/>
      <c r="G3" s="94"/>
      <c r="H3" s="93"/>
      <c r="I3" s="95"/>
      <c r="J3" s="95"/>
      <c r="K3" s="95"/>
      <c r="L3" s="95"/>
    </row>
    <row r="4" spans="1:12">
      <c r="A4" s="93"/>
      <c r="B4" s="96" t="s">
        <v>151</v>
      </c>
      <c r="C4" s="96">
        <v>2026</v>
      </c>
      <c r="D4" s="93"/>
      <c r="E4" s="93"/>
      <c r="F4" s="93"/>
      <c r="G4" s="94"/>
      <c r="H4" s="93"/>
      <c r="I4" s="93"/>
      <c r="J4" s="93"/>
      <c r="K4" s="95"/>
      <c r="L4" s="93"/>
    </row>
    <row r="5" spans="1:12">
      <c r="A5" s="93"/>
      <c r="B5" s="96" t="s">
        <v>152</v>
      </c>
      <c r="C5" s="96">
        <v>7</v>
      </c>
      <c r="D5" s="93"/>
      <c r="E5" s="93"/>
      <c r="F5" s="93"/>
      <c r="G5" s="94"/>
      <c r="H5" s="93"/>
      <c r="I5" s="93"/>
      <c r="J5" s="93"/>
      <c r="K5" s="95"/>
      <c r="L5" s="93"/>
    </row>
    <row r="6" spans="1:12">
      <c r="A6" s="93"/>
      <c r="B6" s="96" t="s">
        <v>153</v>
      </c>
      <c r="C6" s="96">
        <v>3315</v>
      </c>
      <c r="D6" s="93"/>
      <c r="E6" s="93"/>
      <c r="F6" s="93"/>
      <c r="G6" s="94"/>
      <c r="H6" s="93"/>
      <c r="I6" s="93"/>
      <c r="J6" s="93"/>
      <c r="K6" s="95"/>
      <c r="L6" s="93"/>
    </row>
    <row r="7" spans="1:12">
      <c r="A7" s="93"/>
      <c r="B7" s="93"/>
      <c r="C7" s="93"/>
      <c r="D7" s="93"/>
      <c r="E7" s="93"/>
      <c r="F7" s="93"/>
      <c r="G7" s="94"/>
      <c r="H7" s="93"/>
      <c r="I7" s="93"/>
      <c r="J7" s="93"/>
      <c r="K7" s="95"/>
      <c r="L7" s="93"/>
    </row>
    <row r="8" spans="1:12" ht="15" thickBot="1">
      <c r="A8" s="93"/>
      <c r="B8" s="93"/>
      <c r="C8" s="93"/>
      <c r="D8" s="93"/>
      <c r="E8" s="93"/>
      <c r="F8" s="93"/>
      <c r="G8" s="94"/>
      <c r="H8" s="93"/>
      <c r="I8" s="93"/>
      <c r="J8" s="93"/>
      <c r="K8" s="95"/>
      <c r="L8" s="93"/>
    </row>
    <row r="9" spans="1:12" ht="15" thickBot="1">
      <c r="A9" s="93"/>
      <c r="B9" s="221" t="s">
        <v>154</v>
      </c>
      <c r="C9" s="222" t="s">
        <v>155</v>
      </c>
      <c r="D9" s="222" t="s">
        <v>36</v>
      </c>
      <c r="E9" s="222" t="s">
        <v>156</v>
      </c>
      <c r="F9" s="93"/>
      <c r="G9" s="219" t="s">
        <v>36</v>
      </c>
      <c r="H9" s="220" t="s">
        <v>519</v>
      </c>
      <c r="I9" s="93"/>
      <c r="J9" s="97" t="s">
        <v>153</v>
      </c>
      <c r="K9" s="95"/>
      <c r="L9" s="93"/>
    </row>
    <row r="10" spans="1:12" ht="15" thickBot="1">
      <c r="A10" s="93"/>
      <c r="B10" s="98" t="s">
        <v>157</v>
      </c>
      <c r="C10" s="99">
        <v>2</v>
      </c>
      <c r="D10" s="100">
        <f>+ROUND(G10,-3)</f>
        <v>0</v>
      </c>
      <c r="E10" s="101">
        <f>+ROUND(H10,-3)</f>
        <v>0</v>
      </c>
      <c r="F10" s="93"/>
      <c r="G10" s="102">
        <f>+H10/0.2*100</f>
        <v>0</v>
      </c>
      <c r="H10" s="149">
        <v>0</v>
      </c>
      <c r="I10" s="103"/>
      <c r="J10" s="104"/>
      <c r="K10" s="95"/>
      <c r="L10" s="93"/>
    </row>
    <row r="11" spans="1:12">
      <c r="A11" s="93"/>
      <c r="B11" s="105" t="s">
        <v>158</v>
      </c>
      <c r="C11" s="106">
        <v>5</v>
      </c>
      <c r="D11" s="107">
        <f t="shared" ref="D11:E26" si="0">+ROUND(G11,-3)</f>
        <v>0</v>
      </c>
      <c r="E11" s="108">
        <f>+ROUND(H11,-3)</f>
        <v>0</v>
      </c>
      <c r="F11" s="93"/>
      <c r="G11" s="109">
        <f>+H11/0.5*100</f>
        <v>0</v>
      </c>
      <c r="H11" s="132">
        <v>0</v>
      </c>
      <c r="I11" s="110" t="s">
        <v>159</v>
      </c>
      <c r="J11" s="111">
        <v>4719</v>
      </c>
      <c r="K11" s="112" t="s">
        <v>160</v>
      </c>
      <c r="L11" s="93"/>
    </row>
    <row r="12" spans="1:12">
      <c r="A12" s="93"/>
      <c r="B12" s="105" t="s">
        <v>158</v>
      </c>
      <c r="C12" s="106">
        <v>5</v>
      </c>
      <c r="D12" s="107">
        <f t="shared" si="0"/>
        <v>0</v>
      </c>
      <c r="E12" s="108">
        <f>+ROUND(H12,-3)</f>
        <v>0</v>
      </c>
      <c r="F12" s="93"/>
      <c r="G12" s="113">
        <f>+H12/0.5*100</f>
        <v>0</v>
      </c>
      <c r="H12" s="150"/>
      <c r="I12" s="114" t="s">
        <v>161</v>
      </c>
      <c r="J12" s="115">
        <v>4112</v>
      </c>
      <c r="K12" s="112" t="s">
        <v>161</v>
      </c>
      <c r="L12" s="93"/>
    </row>
    <row r="13" spans="1:12">
      <c r="A13" s="93"/>
      <c r="B13" s="116" t="s">
        <v>162</v>
      </c>
      <c r="C13" s="117">
        <v>5</v>
      </c>
      <c r="D13" s="107">
        <f t="shared" si="0"/>
        <v>0</v>
      </c>
      <c r="E13" s="108">
        <f>+ROUND(H13,-3)</f>
        <v>0</v>
      </c>
      <c r="F13" s="93"/>
      <c r="G13" s="113">
        <f>+H13/0.5*100</f>
        <v>0</v>
      </c>
      <c r="H13" s="150">
        <v>0</v>
      </c>
      <c r="I13" s="93" t="s">
        <v>163</v>
      </c>
      <c r="J13" s="115">
        <v>5611</v>
      </c>
      <c r="K13" s="112"/>
      <c r="L13" s="93"/>
    </row>
    <row r="14" spans="1:12">
      <c r="A14" s="93"/>
      <c r="B14" s="116" t="s">
        <v>162</v>
      </c>
      <c r="C14" s="117">
        <v>5</v>
      </c>
      <c r="D14" s="107">
        <f t="shared" si="0"/>
        <v>0</v>
      </c>
      <c r="E14" s="108">
        <f>+ROUND(H14,-3)</f>
        <v>0</v>
      </c>
      <c r="F14" s="93"/>
      <c r="G14" s="113">
        <f>+H14/0.5*100</f>
        <v>0</v>
      </c>
      <c r="H14" s="150"/>
      <c r="I14" s="93" t="s">
        <v>164</v>
      </c>
      <c r="J14" s="115">
        <v>4752</v>
      </c>
      <c r="K14" s="112" t="s">
        <v>165</v>
      </c>
      <c r="L14" s="93"/>
    </row>
    <row r="15" spans="1:12" ht="15" thickBot="1">
      <c r="A15" s="93"/>
      <c r="B15" s="118" t="s">
        <v>166</v>
      </c>
      <c r="C15" s="119">
        <v>5</v>
      </c>
      <c r="D15" s="120">
        <f t="shared" si="0"/>
        <v>0</v>
      </c>
      <c r="E15" s="121">
        <f>+ROUND(H15,-3)</f>
        <v>0</v>
      </c>
      <c r="F15" s="93"/>
      <c r="G15" s="122">
        <f>+H15/0.5*100</f>
        <v>0</v>
      </c>
      <c r="H15" s="151">
        <v>0</v>
      </c>
      <c r="I15" s="123" t="s">
        <v>167</v>
      </c>
      <c r="J15" s="124">
        <v>1410</v>
      </c>
      <c r="K15" s="112"/>
      <c r="L15" s="93"/>
    </row>
    <row r="16" spans="1:12">
      <c r="A16" s="93"/>
      <c r="B16" s="98" t="s">
        <v>168</v>
      </c>
      <c r="C16" s="99">
        <v>7</v>
      </c>
      <c r="D16" s="100">
        <f t="shared" si="0"/>
        <v>188000</v>
      </c>
      <c r="E16" s="101">
        <f t="shared" si="0"/>
        <v>1000</v>
      </c>
      <c r="F16" s="93"/>
      <c r="G16" s="164">
        <f>+H16/0.7*100</f>
        <v>188285.71428571429</v>
      </c>
      <c r="H16" s="165">
        <v>1318</v>
      </c>
      <c r="I16" s="166" t="s">
        <v>169</v>
      </c>
      <c r="J16" s="111">
        <v>9609</v>
      </c>
      <c r="K16">
        <v>900392924</v>
      </c>
      <c r="L16" s="93"/>
    </row>
    <row r="17" spans="1:12">
      <c r="A17" s="93"/>
      <c r="B17" s="116" t="s">
        <v>170</v>
      </c>
      <c r="C17" s="117">
        <v>7</v>
      </c>
      <c r="D17" s="107">
        <f>+ROUND(G17,-3)</f>
        <v>5000000</v>
      </c>
      <c r="E17" s="108">
        <f>+ROUND(H17,-3)</f>
        <v>35000</v>
      </c>
      <c r="F17" s="131">
        <f>+G17+G16</f>
        <v>5188285.7142857146</v>
      </c>
      <c r="G17" s="167">
        <f>+H17/0.7*100</f>
        <v>5000000</v>
      </c>
      <c r="H17" s="165">
        <v>35000</v>
      </c>
      <c r="I17" s="169" t="s">
        <v>171</v>
      </c>
      <c r="J17" s="115">
        <v>7490</v>
      </c>
      <c r="K17">
        <v>901670478</v>
      </c>
      <c r="L17" s="93"/>
    </row>
    <row r="18" spans="1:12" ht="15" thickBot="1">
      <c r="A18" s="93"/>
      <c r="B18" s="125" t="s">
        <v>168</v>
      </c>
      <c r="C18" s="126">
        <v>7</v>
      </c>
      <c r="D18" s="120">
        <f t="shared" si="0"/>
        <v>0</v>
      </c>
      <c r="E18" s="121">
        <f>+H18</f>
        <v>0</v>
      </c>
      <c r="F18" s="93"/>
      <c r="G18" s="122">
        <f>+H18/0.7*100</f>
        <v>0</v>
      </c>
      <c r="H18" s="151">
        <v>0</v>
      </c>
      <c r="I18" s="123" t="s">
        <v>172</v>
      </c>
      <c r="J18" s="124"/>
      <c r="K18" s="112"/>
      <c r="L18" s="93"/>
    </row>
    <row r="19" spans="1:12" ht="15" thickBot="1">
      <c r="A19" s="93"/>
      <c r="B19" s="223" t="s">
        <v>173</v>
      </c>
      <c r="C19" s="127">
        <v>8</v>
      </c>
      <c r="D19" s="128">
        <f t="shared" si="0"/>
        <v>0</v>
      </c>
      <c r="E19" s="224">
        <f t="shared" ref="E19" si="1">+H19</f>
        <v>0</v>
      </c>
      <c r="F19" s="93"/>
      <c r="G19" s="102">
        <f>+H19/0.5*100</f>
        <v>0</v>
      </c>
      <c r="H19" s="149"/>
      <c r="I19" s="129"/>
      <c r="J19" s="104"/>
      <c r="K19" s="112"/>
      <c r="L19" s="93"/>
    </row>
    <row r="20" spans="1:12">
      <c r="A20" s="93"/>
      <c r="B20" s="98" t="s">
        <v>170</v>
      </c>
      <c r="C20" s="99">
        <v>10</v>
      </c>
      <c r="D20" s="100">
        <f t="shared" si="0"/>
        <v>3743000</v>
      </c>
      <c r="E20" s="101">
        <f t="shared" si="0"/>
        <v>37000</v>
      </c>
      <c r="F20" s="93"/>
      <c r="G20" s="164">
        <f t="shared" ref="G20:G26" si="2">+H20/1*100</f>
        <v>3743000</v>
      </c>
      <c r="H20" s="165">
        <v>37430</v>
      </c>
      <c r="I20" s="166" t="s">
        <v>174</v>
      </c>
      <c r="J20" s="111">
        <v>4669</v>
      </c>
      <c r="K20" s="93"/>
      <c r="L20" s="93"/>
    </row>
    <row r="21" spans="1:12">
      <c r="A21" s="93"/>
      <c r="B21" s="116" t="s">
        <v>170</v>
      </c>
      <c r="C21" s="117">
        <v>10</v>
      </c>
      <c r="D21" s="107">
        <f t="shared" si="0"/>
        <v>38966000</v>
      </c>
      <c r="E21" s="108">
        <f t="shared" si="0"/>
        <v>390000</v>
      </c>
      <c r="F21" s="131">
        <f>+G20+G21+G25</f>
        <v>43824300</v>
      </c>
      <c r="G21" s="167">
        <f>+H21/1*100</f>
        <v>38965700</v>
      </c>
      <c r="H21" s="168">
        <v>389657</v>
      </c>
      <c r="I21" s="169" t="s">
        <v>175</v>
      </c>
      <c r="J21" s="115">
        <v>5224</v>
      </c>
      <c r="K21" s="93">
        <v>800193573</v>
      </c>
      <c r="L21" s="93"/>
    </row>
    <row r="22" spans="1:12">
      <c r="A22" s="93"/>
      <c r="B22" s="116" t="s">
        <v>170</v>
      </c>
      <c r="C22" s="117">
        <v>10</v>
      </c>
      <c r="D22" s="107">
        <f t="shared" si="0"/>
        <v>0</v>
      </c>
      <c r="E22" s="108">
        <f t="shared" si="0"/>
        <v>0</v>
      </c>
      <c r="F22" s="93"/>
      <c r="G22" s="113">
        <f t="shared" si="2"/>
        <v>0</v>
      </c>
      <c r="H22" s="132">
        <v>0</v>
      </c>
      <c r="I22" s="93" t="s">
        <v>176</v>
      </c>
      <c r="J22" s="115">
        <v>7730</v>
      </c>
      <c r="K22" s="93"/>
      <c r="L22" s="93"/>
    </row>
    <row r="23" spans="1:12">
      <c r="A23" s="93"/>
      <c r="B23" s="116" t="s">
        <v>170</v>
      </c>
      <c r="C23" s="117">
        <v>10</v>
      </c>
      <c r="D23" s="107">
        <f t="shared" si="0"/>
        <v>0</v>
      </c>
      <c r="E23" s="108">
        <f t="shared" si="0"/>
        <v>0</v>
      </c>
      <c r="F23" s="93"/>
      <c r="G23" s="113">
        <f t="shared" si="2"/>
        <v>0</v>
      </c>
      <c r="H23" s="150"/>
      <c r="I23" s="93" t="s">
        <v>177</v>
      </c>
      <c r="J23" s="115">
        <v>4774</v>
      </c>
      <c r="K23" s="93"/>
      <c r="L23" s="93"/>
    </row>
    <row r="24" spans="1:12">
      <c r="A24" s="93"/>
      <c r="B24" s="116" t="s">
        <v>170</v>
      </c>
      <c r="C24" s="117">
        <v>10</v>
      </c>
      <c r="D24" s="107">
        <f t="shared" si="0"/>
        <v>0</v>
      </c>
      <c r="E24" s="108">
        <f t="shared" si="0"/>
        <v>0</v>
      </c>
      <c r="F24" s="93"/>
      <c r="G24" s="113">
        <f t="shared" si="2"/>
        <v>0</v>
      </c>
      <c r="H24" s="132">
        <v>0</v>
      </c>
      <c r="I24" s="93" t="s">
        <v>178</v>
      </c>
      <c r="J24" s="115">
        <v>4923</v>
      </c>
      <c r="K24" s="93"/>
      <c r="L24" s="93"/>
    </row>
    <row r="25" spans="1:12">
      <c r="A25" s="93"/>
      <c r="B25" s="116" t="s">
        <v>170</v>
      </c>
      <c r="C25" s="117">
        <v>10</v>
      </c>
      <c r="D25" s="107">
        <f>+ROUND(G25,-3)</f>
        <v>1116000</v>
      </c>
      <c r="E25" s="108">
        <f>+ROUND(H25,-3)</f>
        <v>11000</v>
      </c>
      <c r="F25" s="93"/>
      <c r="G25" s="113">
        <f t="shared" si="2"/>
        <v>1115600</v>
      </c>
      <c r="H25" s="93">
        <v>11156</v>
      </c>
      <c r="I25" s="93" t="s">
        <v>179</v>
      </c>
      <c r="J25" s="115">
        <v>9903</v>
      </c>
      <c r="K25">
        <v>830028245</v>
      </c>
      <c r="L25" s="93"/>
    </row>
    <row r="26" spans="1:12" ht="15" thickBot="1">
      <c r="A26" s="93"/>
      <c r="B26" s="125" t="s">
        <v>170</v>
      </c>
      <c r="C26" s="126">
        <v>10</v>
      </c>
      <c r="D26" s="120">
        <f t="shared" si="0"/>
        <v>0</v>
      </c>
      <c r="E26" s="121">
        <f t="shared" si="0"/>
        <v>0</v>
      </c>
      <c r="F26" s="93"/>
      <c r="G26" s="122">
        <f t="shared" si="2"/>
        <v>0</v>
      </c>
      <c r="H26" s="151">
        <v>0</v>
      </c>
      <c r="I26" s="123" t="s">
        <v>180</v>
      </c>
      <c r="J26" s="124">
        <v>4669</v>
      </c>
      <c r="K26">
        <v>811033997</v>
      </c>
      <c r="L26" s="93"/>
    </row>
    <row r="27" spans="1:12" ht="15" thickBot="1">
      <c r="A27" s="93"/>
      <c r="B27" s="223" t="s">
        <v>181</v>
      </c>
      <c r="C27" s="225" t="s">
        <v>182</v>
      </c>
      <c r="D27" s="226"/>
      <c r="E27" s="227"/>
      <c r="F27" s="93"/>
      <c r="G27" s="94"/>
      <c r="H27" s="152"/>
      <c r="I27" s="93"/>
      <c r="J27" s="130"/>
      <c r="K27" s="93"/>
      <c r="L27" s="93"/>
    </row>
    <row r="28" spans="1:12" ht="17.600000000000001" thickBot="1">
      <c r="A28" s="93"/>
      <c r="B28" s="228"/>
      <c r="C28" s="229"/>
      <c r="D28" s="230">
        <f>SUM(D10:D27)</f>
        <v>49013000</v>
      </c>
      <c r="E28" s="231">
        <f>SUM(E10:E27)</f>
        <v>474000</v>
      </c>
      <c r="F28" s="93"/>
      <c r="G28" s="94">
        <f>G25*10%</f>
        <v>111560</v>
      </c>
      <c r="H28" s="153">
        <f>SUM(H10:H27)</f>
        <v>474561</v>
      </c>
      <c r="I28" s="93"/>
      <c r="J28" s="130"/>
      <c r="K28" s="95"/>
      <c r="L28" s="93"/>
    </row>
    <row r="29" spans="1:12">
      <c r="A29" s="93"/>
      <c r="B29" s="93"/>
      <c r="C29" s="93"/>
      <c r="D29" s="131"/>
      <c r="E29" s="131"/>
      <c r="F29" s="93"/>
      <c r="G29" s="94"/>
      <c r="H29" s="152"/>
      <c r="I29" s="132"/>
      <c r="J29" s="93"/>
      <c r="K29" s="95"/>
      <c r="L29" s="93"/>
    </row>
    <row r="30" spans="1:12">
      <c r="A30" s="93"/>
      <c r="B30" s="274" t="s">
        <v>154</v>
      </c>
      <c r="C30" s="274"/>
      <c r="D30" s="274"/>
      <c r="E30" s="274"/>
      <c r="F30" s="93"/>
      <c r="G30" s="94"/>
      <c r="H30" s="152"/>
      <c r="I30" s="132">
        <v>0</v>
      </c>
      <c r="J30" s="93"/>
      <c r="K30" s="95"/>
      <c r="L30" s="93"/>
    </row>
    <row r="31" spans="1:12">
      <c r="A31" s="93"/>
      <c r="B31" s="133">
        <v>6</v>
      </c>
      <c r="C31" s="134" t="s">
        <v>183</v>
      </c>
      <c r="D31" s="135"/>
      <c r="E31" s="135">
        <f>+ROUND(D28,-3)</f>
        <v>49013000</v>
      </c>
      <c r="F31" s="131"/>
      <c r="G31" s="94"/>
      <c r="H31" s="152">
        <f>+D47</f>
        <v>0</v>
      </c>
      <c r="I31" s="131"/>
      <c r="J31" s="93"/>
      <c r="K31" s="95"/>
      <c r="L31" s="93"/>
    </row>
    <row r="32" spans="1:12">
      <c r="A32" s="93"/>
      <c r="B32" s="136">
        <v>7</v>
      </c>
      <c r="C32" s="137" t="s">
        <v>184</v>
      </c>
      <c r="D32" s="138"/>
      <c r="E32" s="138">
        <f>+E31-D28</f>
        <v>0</v>
      </c>
      <c r="F32" s="131"/>
      <c r="G32" s="94"/>
      <c r="H32" s="152"/>
      <c r="I32" s="132"/>
      <c r="J32" s="132"/>
      <c r="K32" s="95"/>
      <c r="L32" s="93"/>
    </row>
    <row r="33" spans="1:12">
      <c r="A33" s="93"/>
      <c r="B33" s="133">
        <v>8</v>
      </c>
      <c r="C33" s="139" t="s">
        <v>185</v>
      </c>
      <c r="D33" s="135"/>
      <c r="E33" s="140">
        <f>+E31-E32</f>
        <v>49013000</v>
      </c>
      <c r="F33" s="93"/>
      <c r="G33" s="94"/>
      <c r="H33" s="152"/>
      <c r="I33" s="132"/>
      <c r="J33" s="132"/>
      <c r="K33" s="95"/>
      <c r="L33" s="93"/>
    </row>
    <row r="34" spans="1:12">
      <c r="A34" s="93"/>
      <c r="B34" s="136">
        <v>9</v>
      </c>
      <c r="C34" s="137" t="s">
        <v>186</v>
      </c>
      <c r="D34" s="138"/>
      <c r="E34" s="138">
        <f>+ROUND(H34,-3)</f>
        <v>0</v>
      </c>
      <c r="F34" s="93"/>
      <c r="G34" s="94"/>
      <c r="H34" s="152"/>
      <c r="I34" s="132"/>
      <c r="J34" s="93"/>
      <c r="K34" s="95"/>
      <c r="L34" s="93"/>
    </row>
    <row r="35" spans="1:12">
      <c r="A35" s="93"/>
      <c r="B35" s="133">
        <v>10</v>
      </c>
      <c r="C35" s="139" t="s">
        <v>187</v>
      </c>
      <c r="D35" s="135"/>
      <c r="E35" s="140">
        <f>+E33-E34</f>
        <v>49013000</v>
      </c>
      <c r="F35" s="93"/>
      <c r="G35" s="94"/>
      <c r="H35" s="152"/>
      <c r="I35" s="132"/>
      <c r="J35" s="93"/>
      <c r="K35" s="95"/>
      <c r="L35" s="93"/>
    </row>
    <row r="36" spans="1:12" ht="15.9">
      <c r="A36" s="93"/>
      <c r="B36" s="141" t="s">
        <v>188</v>
      </c>
      <c r="C36" s="142" t="s">
        <v>189</v>
      </c>
      <c r="D36" s="138"/>
      <c r="E36" s="143">
        <v>0</v>
      </c>
      <c r="F36" s="93"/>
      <c r="G36" s="94"/>
      <c r="H36" s="152"/>
      <c r="I36" s="132"/>
      <c r="J36" s="93"/>
      <c r="K36" s="95"/>
      <c r="L36" s="93"/>
    </row>
    <row r="37" spans="1:12">
      <c r="A37" s="93"/>
      <c r="B37" s="133">
        <v>11</v>
      </c>
      <c r="C37" s="139" t="s">
        <v>190</v>
      </c>
      <c r="D37" s="135"/>
      <c r="E37" s="135">
        <f>+E28-E36</f>
        <v>474000</v>
      </c>
      <c r="F37" s="93"/>
      <c r="G37" s="94"/>
      <c r="H37" s="152"/>
      <c r="I37" s="132"/>
      <c r="J37" s="93"/>
      <c r="K37" s="95"/>
      <c r="L37" s="93"/>
    </row>
    <row r="38" spans="1:12">
      <c r="A38" s="95"/>
      <c r="B38" s="136">
        <v>12</v>
      </c>
      <c r="C38" s="144" t="s">
        <v>42</v>
      </c>
      <c r="D38" s="138"/>
      <c r="E38" s="138">
        <v>0</v>
      </c>
      <c r="F38" s="93"/>
      <c r="G38" s="94"/>
      <c r="H38" s="152"/>
      <c r="I38" s="93"/>
      <c r="J38" s="93"/>
      <c r="K38" s="95"/>
      <c r="L38" s="95"/>
    </row>
    <row r="39" spans="1:12" ht="21">
      <c r="A39" s="95"/>
      <c r="B39" s="145">
        <v>13</v>
      </c>
      <c r="C39" s="146" t="s">
        <v>191</v>
      </c>
      <c r="D39" s="147"/>
      <c r="E39" s="148">
        <f>+E37+E38</f>
        <v>474000</v>
      </c>
      <c r="F39" s="93"/>
      <c r="G39" s="94"/>
      <c r="H39" s="152"/>
      <c r="I39" s="93"/>
      <c r="J39" s="132"/>
      <c r="K39" s="95"/>
      <c r="L39" s="95"/>
    </row>
    <row r="40" spans="1:12">
      <c r="A40" s="95"/>
      <c r="B40" s="96" t="s">
        <v>192</v>
      </c>
      <c r="C40" s="93"/>
      <c r="D40" s="93"/>
      <c r="E40" s="93"/>
      <c r="F40" s="93"/>
      <c r="G40" s="94"/>
      <c r="H40" s="93"/>
      <c r="I40" s="132"/>
      <c r="J40" s="132"/>
      <c r="K40" s="95"/>
      <c r="L40" s="95"/>
    </row>
    <row r="41" spans="1:12">
      <c r="A41" s="95"/>
      <c r="B41" s="93"/>
      <c r="C41" s="93"/>
      <c r="D41" s="93"/>
      <c r="E41" s="93"/>
      <c r="F41" s="93"/>
      <c r="G41" s="94"/>
      <c r="H41" s="93"/>
      <c r="I41" s="132"/>
      <c r="J41" s="93"/>
      <c r="K41" s="95"/>
      <c r="L41" s="95"/>
    </row>
    <row r="42" spans="1:12">
      <c r="A42" s="95"/>
      <c r="B42" s="93"/>
      <c r="C42" s="93"/>
      <c r="D42" s="93"/>
      <c r="E42" s="93"/>
      <c r="F42" s="93"/>
      <c r="G42" s="94"/>
      <c r="H42" s="93"/>
      <c r="I42" s="131"/>
      <c r="J42" s="93"/>
      <c r="K42" s="95"/>
      <c r="L42" s="95"/>
    </row>
  </sheetData>
  <mergeCells count="3">
    <mergeCell ref="B2:E2"/>
    <mergeCell ref="B3:E3"/>
    <mergeCell ref="B30:E30"/>
  </mergeCells>
  <pageMargins left="0.7" right="0.7" top="0.75" bottom="0.75" header="0.3" footer="0.3"/>
  <ignoredErrors>
    <ignoredError sqref="E3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175D-E9B3-46A7-9FED-5907421FF16E}">
  <sheetPr filterMode="1">
    <tabColor rgb="FF00B0F0"/>
  </sheetPr>
  <dimension ref="B1:J349"/>
  <sheetViews>
    <sheetView workbookViewId="0">
      <selection activeCell="J349" sqref="D157:J349"/>
    </sheetView>
  </sheetViews>
  <sheetFormatPr baseColWidth="10" defaultRowHeight="14.6"/>
  <cols>
    <col min="2" max="2" width="5.3046875" bestFit="1" customWidth="1"/>
    <col min="3" max="3" width="11" bestFit="1" customWidth="1"/>
    <col min="4" max="4" width="21.765625" bestFit="1" customWidth="1"/>
    <col min="5" max="5" width="5.53515625" bestFit="1" customWidth="1"/>
    <col min="6" max="7" width="14.3046875" bestFit="1" customWidth="1"/>
    <col min="8" max="9" width="13.69140625" bestFit="1" customWidth="1"/>
    <col min="10" max="10" width="14.3046875" bestFit="1" customWidth="1"/>
  </cols>
  <sheetData>
    <row r="1" spans="2:10">
      <c r="B1" s="275" t="s">
        <v>193</v>
      </c>
      <c r="C1" s="275"/>
      <c r="D1" s="275"/>
      <c r="E1" s="275"/>
      <c r="F1" s="275"/>
      <c r="G1" s="275"/>
      <c r="H1" s="275"/>
      <c r="I1" s="275"/>
      <c r="J1" s="275"/>
    </row>
    <row r="2" spans="2:10">
      <c r="B2" s="275" t="s">
        <v>194</v>
      </c>
      <c r="C2" s="275"/>
      <c r="D2" s="275"/>
      <c r="E2" s="275"/>
      <c r="F2" s="275"/>
      <c r="G2" s="275"/>
      <c r="H2" s="275"/>
      <c r="I2" s="275"/>
      <c r="J2" s="275"/>
    </row>
    <row r="3" spans="2:10">
      <c r="B3" s="275" t="s">
        <v>195</v>
      </c>
      <c r="C3" s="275"/>
      <c r="D3" s="275"/>
      <c r="E3" s="275"/>
      <c r="F3" s="275"/>
      <c r="G3" s="275"/>
      <c r="H3" s="275"/>
      <c r="I3" s="275"/>
      <c r="J3" s="275"/>
    </row>
    <row r="4" spans="2:10" ht="29.15">
      <c r="B4" s="78" t="s">
        <v>108</v>
      </c>
      <c r="C4" s="78" t="s">
        <v>196</v>
      </c>
      <c r="D4" s="78" t="s">
        <v>97</v>
      </c>
      <c r="E4" s="78" t="s">
        <v>197</v>
      </c>
      <c r="F4" s="78" t="s">
        <v>198</v>
      </c>
      <c r="G4" s="78" t="s">
        <v>199</v>
      </c>
      <c r="H4" s="78" t="s">
        <v>200</v>
      </c>
      <c r="I4" s="78" t="s">
        <v>201</v>
      </c>
      <c r="J4" s="78" t="s">
        <v>202</v>
      </c>
    </row>
    <row r="5" spans="2:10" hidden="1">
      <c r="B5" t="s">
        <v>115</v>
      </c>
      <c r="C5">
        <v>1105100020</v>
      </c>
      <c r="D5" t="s">
        <v>203</v>
      </c>
      <c r="E5" t="s">
        <v>204</v>
      </c>
      <c r="F5" s="79">
        <v>5000000</v>
      </c>
      <c r="G5" s="79">
        <v>-1249580</v>
      </c>
      <c r="H5" s="79">
        <v>5206585</v>
      </c>
      <c r="I5" s="79">
        <v>3957005</v>
      </c>
      <c r="J5" s="79">
        <v>5000000</v>
      </c>
    </row>
    <row r="6" spans="2:10" hidden="1">
      <c r="B6" t="s">
        <v>115</v>
      </c>
      <c r="C6">
        <v>1105100120</v>
      </c>
      <c r="D6" t="s">
        <v>205</v>
      </c>
      <c r="E6" t="s">
        <v>204</v>
      </c>
      <c r="F6" s="79">
        <v>5000000</v>
      </c>
      <c r="G6">
        <v>0</v>
      </c>
      <c r="H6" s="79">
        <v>1836700</v>
      </c>
      <c r="I6" s="79">
        <v>4545502</v>
      </c>
      <c r="J6" s="79">
        <v>2291198</v>
      </c>
    </row>
    <row r="7" spans="2:10" hidden="1">
      <c r="B7" t="s">
        <v>115</v>
      </c>
      <c r="C7">
        <v>1110050200</v>
      </c>
      <c r="D7" t="s">
        <v>206</v>
      </c>
      <c r="E7" t="s">
        <v>204</v>
      </c>
      <c r="F7" s="79">
        <v>198964924</v>
      </c>
      <c r="G7" s="79">
        <v>392539367</v>
      </c>
      <c r="H7" s="79">
        <v>2817955450</v>
      </c>
      <c r="I7" s="79">
        <v>2598764194</v>
      </c>
      <c r="J7" s="79">
        <v>810695547</v>
      </c>
    </row>
    <row r="8" spans="2:10" hidden="1">
      <c r="B8" t="s">
        <v>115</v>
      </c>
      <c r="C8">
        <v>1110050201</v>
      </c>
      <c r="D8" t="s">
        <v>207</v>
      </c>
      <c r="E8" t="s">
        <v>204</v>
      </c>
      <c r="F8">
        <v>0</v>
      </c>
      <c r="G8">
        <v>0</v>
      </c>
      <c r="H8" s="79">
        <v>9096538</v>
      </c>
      <c r="I8" s="79">
        <v>9096538</v>
      </c>
      <c r="J8">
        <v>0</v>
      </c>
    </row>
    <row r="9" spans="2:10" hidden="1">
      <c r="B9" t="s">
        <v>115</v>
      </c>
      <c r="C9">
        <v>1110050202</v>
      </c>
      <c r="D9" t="s">
        <v>208</v>
      </c>
      <c r="E9" t="s">
        <v>204</v>
      </c>
      <c r="F9">
        <v>0</v>
      </c>
      <c r="G9">
        <v>0</v>
      </c>
      <c r="H9" s="79">
        <v>2817955450</v>
      </c>
      <c r="I9" s="79">
        <v>2817955450</v>
      </c>
      <c r="J9">
        <v>0</v>
      </c>
    </row>
    <row r="10" spans="2:10" hidden="1">
      <c r="B10" t="s">
        <v>115</v>
      </c>
      <c r="C10">
        <v>1110050203</v>
      </c>
      <c r="D10" t="s">
        <v>209</v>
      </c>
      <c r="E10" t="s">
        <v>204</v>
      </c>
      <c r="F10">
        <v>0</v>
      </c>
      <c r="G10">
        <v>0</v>
      </c>
      <c r="H10" s="79">
        <v>314769753</v>
      </c>
      <c r="I10" s="79">
        <v>314769753</v>
      </c>
      <c r="J10">
        <v>0</v>
      </c>
    </row>
    <row r="11" spans="2:10" hidden="1">
      <c r="B11" t="s">
        <v>115</v>
      </c>
      <c r="C11">
        <v>1110050205</v>
      </c>
      <c r="D11" t="s">
        <v>210</v>
      </c>
      <c r="E11" t="s">
        <v>204</v>
      </c>
      <c r="F11">
        <v>0</v>
      </c>
      <c r="G11">
        <v>0</v>
      </c>
      <c r="H11" s="79">
        <v>2439000918</v>
      </c>
      <c r="I11" s="79">
        <v>2239000918</v>
      </c>
      <c r="J11" s="79">
        <v>200000000</v>
      </c>
    </row>
    <row r="12" spans="2:10" hidden="1">
      <c r="B12" t="s">
        <v>115</v>
      </c>
      <c r="C12">
        <v>1110050300</v>
      </c>
      <c r="D12" t="s">
        <v>211</v>
      </c>
      <c r="E12" t="s">
        <v>204</v>
      </c>
      <c r="F12" s="79">
        <v>483966271</v>
      </c>
      <c r="G12" s="79">
        <v>-119613746</v>
      </c>
      <c r="H12" s="79">
        <v>391659624</v>
      </c>
      <c r="I12" s="79">
        <v>407489436</v>
      </c>
      <c r="J12" s="79">
        <v>348522713</v>
      </c>
    </row>
    <row r="13" spans="2:10" hidden="1">
      <c r="B13" t="s">
        <v>115</v>
      </c>
      <c r="C13">
        <v>1110050302</v>
      </c>
      <c r="D13" t="s">
        <v>212</v>
      </c>
      <c r="E13" t="s">
        <v>204</v>
      </c>
      <c r="F13" s="79">
        <v>18691888006</v>
      </c>
      <c r="G13" s="79">
        <v>1551596012</v>
      </c>
      <c r="H13" s="79">
        <v>139833893</v>
      </c>
      <c r="I13">
        <v>0</v>
      </c>
      <c r="J13" s="79">
        <v>20383317911</v>
      </c>
    </row>
    <row r="14" spans="2:10" hidden="1">
      <c r="B14" t="s">
        <v>115</v>
      </c>
      <c r="C14">
        <v>1110050303</v>
      </c>
      <c r="D14" t="s">
        <v>213</v>
      </c>
      <c r="E14" t="s">
        <v>204</v>
      </c>
      <c r="F14" s="79">
        <v>-747576377</v>
      </c>
      <c r="G14" s="79">
        <v>-28441078</v>
      </c>
      <c r="H14">
        <v>0</v>
      </c>
      <c r="I14" s="79">
        <v>4004081</v>
      </c>
      <c r="J14" s="79">
        <v>-780021536</v>
      </c>
    </row>
    <row r="15" spans="2:10" hidden="1">
      <c r="B15" t="s">
        <v>115</v>
      </c>
      <c r="C15">
        <v>1110050304</v>
      </c>
      <c r="D15" t="s">
        <v>214</v>
      </c>
      <c r="E15" t="s">
        <v>204</v>
      </c>
      <c r="F15" s="79">
        <v>4879706476</v>
      </c>
      <c r="G15">
        <v>0</v>
      </c>
      <c r="H15">
        <v>0</v>
      </c>
      <c r="I15">
        <v>0</v>
      </c>
      <c r="J15" s="79">
        <v>4879706476</v>
      </c>
    </row>
    <row r="16" spans="2:10" hidden="1">
      <c r="B16" t="s">
        <v>115</v>
      </c>
      <c r="C16">
        <v>1110050305</v>
      </c>
      <c r="D16" t="s">
        <v>215</v>
      </c>
      <c r="E16" t="s">
        <v>204</v>
      </c>
      <c r="F16" s="79">
        <v>-23307984376</v>
      </c>
      <c r="G16" s="79">
        <v>-1403541188</v>
      </c>
      <c r="H16">
        <v>0</v>
      </c>
      <c r="I16" s="79">
        <v>120000000</v>
      </c>
      <c r="J16" s="79">
        <v>-24831525564</v>
      </c>
    </row>
    <row r="17" spans="2:10" hidden="1">
      <c r="B17" t="s">
        <v>115</v>
      </c>
      <c r="C17">
        <v>1110058600</v>
      </c>
      <c r="D17" t="s">
        <v>216</v>
      </c>
      <c r="E17" t="s">
        <v>204</v>
      </c>
      <c r="F17" s="79">
        <v>1303654</v>
      </c>
      <c r="G17">
        <v>0</v>
      </c>
      <c r="H17">
        <v>0</v>
      </c>
      <c r="I17">
        <v>0</v>
      </c>
      <c r="J17" s="79">
        <v>1303654</v>
      </c>
    </row>
    <row r="18" spans="2:10" hidden="1">
      <c r="B18" t="s">
        <v>115</v>
      </c>
      <c r="C18">
        <v>1110058603</v>
      </c>
      <c r="D18" t="s">
        <v>217</v>
      </c>
      <c r="E18" t="s">
        <v>204</v>
      </c>
      <c r="F18" s="79">
        <v>-1303652</v>
      </c>
      <c r="G18">
        <v>0</v>
      </c>
      <c r="H18">
        <v>0</v>
      </c>
      <c r="I18">
        <v>0</v>
      </c>
      <c r="J18" s="79">
        <v>-1303652</v>
      </c>
    </row>
    <row r="19" spans="2:10" hidden="1">
      <c r="B19" t="s">
        <v>115</v>
      </c>
      <c r="C19">
        <v>1110061600</v>
      </c>
      <c r="D19" t="s">
        <v>218</v>
      </c>
      <c r="E19" t="s">
        <v>204</v>
      </c>
      <c r="F19" s="79">
        <v>22591760</v>
      </c>
      <c r="G19" s="79">
        <v>-6954595</v>
      </c>
      <c r="H19" s="79">
        <v>282661654</v>
      </c>
      <c r="I19" s="79">
        <v>206445593</v>
      </c>
      <c r="J19" s="79">
        <v>91853226</v>
      </c>
    </row>
    <row r="20" spans="2:10" hidden="1">
      <c r="B20" t="s">
        <v>115</v>
      </c>
      <c r="C20">
        <v>1110061602</v>
      </c>
      <c r="D20" t="s">
        <v>219</v>
      </c>
      <c r="E20" t="s">
        <v>204</v>
      </c>
      <c r="F20">
        <v>0</v>
      </c>
      <c r="G20">
        <v>0</v>
      </c>
      <c r="H20" s="79">
        <v>282661654</v>
      </c>
      <c r="I20" s="79">
        <v>282661654</v>
      </c>
      <c r="J20">
        <v>0</v>
      </c>
    </row>
    <row r="21" spans="2:10" hidden="1">
      <c r="B21" t="s">
        <v>115</v>
      </c>
      <c r="C21">
        <v>1110061605</v>
      </c>
      <c r="D21" t="s">
        <v>220</v>
      </c>
      <c r="E21" t="s">
        <v>204</v>
      </c>
      <c r="F21">
        <v>0</v>
      </c>
      <c r="G21">
        <v>0</v>
      </c>
      <c r="H21" s="79">
        <v>205208831</v>
      </c>
      <c r="I21" s="79">
        <v>205208831</v>
      </c>
      <c r="J21">
        <v>0</v>
      </c>
    </row>
    <row r="22" spans="2:10" hidden="1">
      <c r="B22" t="s">
        <v>115</v>
      </c>
      <c r="C22">
        <v>1205450004</v>
      </c>
      <c r="D22" t="s">
        <v>221</v>
      </c>
      <c r="E22" t="s">
        <v>204</v>
      </c>
      <c r="F22" s="79">
        <v>1223671330</v>
      </c>
      <c r="G22">
        <v>0</v>
      </c>
      <c r="H22">
        <v>0</v>
      </c>
      <c r="I22">
        <v>0</v>
      </c>
      <c r="J22" s="79">
        <v>1223671330</v>
      </c>
    </row>
    <row r="23" spans="2:10" hidden="1">
      <c r="B23" t="s">
        <v>115</v>
      </c>
      <c r="C23">
        <v>1205450010</v>
      </c>
      <c r="D23" t="s">
        <v>222</v>
      </c>
      <c r="E23" t="s">
        <v>204</v>
      </c>
      <c r="F23" s="79">
        <v>4570000000</v>
      </c>
      <c r="G23">
        <v>0</v>
      </c>
      <c r="H23">
        <v>0</v>
      </c>
      <c r="I23">
        <v>0</v>
      </c>
      <c r="J23" s="79">
        <v>4570000000</v>
      </c>
    </row>
    <row r="24" spans="2:10" hidden="1">
      <c r="B24" t="s">
        <v>115</v>
      </c>
      <c r="C24">
        <v>1205450031</v>
      </c>
      <c r="D24" t="s">
        <v>223</v>
      </c>
      <c r="E24" t="s">
        <v>204</v>
      </c>
      <c r="F24" s="79">
        <v>-2949704272</v>
      </c>
      <c r="G24" s="79">
        <v>-124266788</v>
      </c>
      <c r="H24">
        <v>0</v>
      </c>
      <c r="I24">
        <v>0</v>
      </c>
      <c r="J24" s="79">
        <v>-3073971060</v>
      </c>
    </row>
    <row r="25" spans="2:10" hidden="1">
      <c r="B25" t="s">
        <v>115</v>
      </c>
      <c r="C25">
        <v>1245050002</v>
      </c>
      <c r="D25" t="s">
        <v>224</v>
      </c>
      <c r="E25" t="s">
        <v>204</v>
      </c>
      <c r="F25" s="79">
        <v>9199138990</v>
      </c>
      <c r="G25">
        <v>0</v>
      </c>
      <c r="H25">
        <v>0</v>
      </c>
      <c r="I25">
        <v>0</v>
      </c>
      <c r="J25" s="79">
        <v>9199138990</v>
      </c>
    </row>
    <row r="26" spans="2:10" hidden="1">
      <c r="B26" t="s">
        <v>115</v>
      </c>
      <c r="C26">
        <v>1245050003</v>
      </c>
      <c r="D26" t="s">
        <v>225</v>
      </c>
      <c r="E26" t="s">
        <v>204</v>
      </c>
      <c r="F26" s="79">
        <v>-9199138990</v>
      </c>
      <c r="G26">
        <v>0</v>
      </c>
      <c r="H26">
        <v>0</v>
      </c>
      <c r="I26">
        <v>0</v>
      </c>
      <c r="J26" s="79">
        <v>-9199138990</v>
      </c>
    </row>
    <row r="27" spans="2:10" hidden="1">
      <c r="B27" t="s">
        <v>115</v>
      </c>
      <c r="C27">
        <v>1245150005</v>
      </c>
      <c r="D27" t="s">
        <v>224</v>
      </c>
      <c r="E27" t="s">
        <v>204</v>
      </c>
      <c r="F27" s="79">
        <v>49854517246</v>
      </c>
      <c r="G27" s="79">
        <v>-147590115</v>
      </c>
      <c r="H27">
        <v>0</v>
      </c>
      <c r="I27">
        <v>0</v>
      </c>
      <c r="J27" s="79">
        <v>49706927131</v>
      </c>
    </row>
    <row r="28" spans="2:10" hidden="1">
      <c r="B28" t="s">
        <v>115</v>
      </c>
      <c r="C28">
        <v>1305050001</v>
      </c>
      <c r="D28" t="s">
        <v>226</v>
      </c>
      <c r="E28" t="s">
        <v>204</v>
      </c>
      <c r="F28" s="79">
        <v>4044029435</v>
      </c>
      <c r="G28" s="79">
        <v>1612331710</v>
      </c>
      <c r="H28" s="79">
        <v>3699741161</v>
      </c>
      <c r="I28" s="79">
        <v>3883160608</v>
      </c>
      <c r="J28" s="79">
        <v>5472941698</v>
      </c>
    </row>
    <row r="29" spans="2:10" hidden="1">
      <c r="B29" t="s">
        <v>115</v>
      </c>
      <c r="C29">
        <v>1305050002</v>
      </c>
      <c r="D29" t="s">
        <v>227</v>
      </c>
      <c r="E29" t="s">
        <v>204</v>
      </c>
      <c r="F29" s="79">
        <v>8480535146</v>
      </c>
      <c r="G29" s="79">
        <v>920972346</v>
      </c>
      <c r="H29" s="79">
        <v>49139369</v>
      </c>
      <c r="I29">
        <v>0</v>
      </c>
      <c r="J29" s="79">
        <v>9450646861</v>
      </c>
    </row>
    <row r="30" spans="2:10" hidden="1">
      <c r="B30" t="s">
        <v>115</v>
      </c>
      <c r="C30">
        <v>1305100001</v>
      </c>
      <c r="D30" t="s">
        <v>228</v>
      </c>
      <c r="E30" t="s">
        <v>204</v>
      </c>
      <c r="F30" s="79">
        <v>3099273109</v>
      </c>
      <c r="G30">
        <v>0</v>
      </c>
      <c r="H30">
        <v>0</v>
      </c>
      <c r="I30">
        <v>0</v>
      </c>
      <c r="J30" s="79">
        <v>3099273109</v>
      </c>
    </row>
    <row r="31" spans="2:10" hidden="1">
      <c r="B31" t="s">
        <v>115</v>
      </c>
      <c r="C31">
        <v>1305100098</v>
      </c>
      <c r="D31" t="s">
        <v>228</v>
      </c>
      <c r="E31" t="s">
        <v>204</v>
      </c>
      <c r="F31" s="79">
        <v>575751437</v>
      </c>
      <c r="G31" s="79">
        <v>-306643310</v>
      </c>
      <c r="H31">
        <v>0</v>
      </c>
      <c r="I31" s="79">
        <v>304373978</v>
      </c>
      <c r="J31" s="79">
        <v>-35265851</v>
      </c>
    </row>
    <row r="32" spans="2:10" hidden="1">
      <c r="B32" t="s">
        <v>115</v>
      </c>
      <c r="C32">
        <v>1310200001</v>
      </c>
      <c r="D32" t="s">
        <v>229</v>
      </c>
      <c r="E32" t="s">
        <v>204</v>
      </c>
      <c r="F32" s="79">
        <v>16713099550</v>
      </c>
      <c r="G32" s="79">
        <v>2291257170</v>
      </c>
      <c r="H32">
        <v>0</v>
      </c>
      <c r="I32">
        <v>0</v>
      </c>
      <c r="J32" s="79">
        <v>19004356720</v>
      </c>
    </row>
    <row r="33" spans="2:10" hidden="1">
      <c r="B33" t="s">
        <v>115</v>
      </c>
      <c r="C33">
        <v>1325050001</v>
      </c>
      <c r="D33" t="s">
        <v>230</v>
      </c>
      <c r="E33" t="s">
        <v>204</v>
      </c>
      <c r="F33" s="79">
        <v>118712511</v>
      </c>
      <c r="G33">
        <v>0</v>
      </c>
      <c r="H33">
        <v>0</v>
      </c>
      <c r="I33">
        <v>0</v>
      </c>
      <c r="J33" s="79">
        <v>118712511</v>
      </c>
    </row>
    <row r="34" spans="2:10" hidden="1">
      <c r="B34" t="s">
        <v>115</v>
      </c>
      <c r="C34">
        <v>1330050001</v>
      </c>
      <c r="D34" t="s">
        <v>231</v>
      </c>
      <c r="E34" t="s">
        <v>204</v>
      </c>
      <c r="F34" s="79">
        <v>3563203233</v>
      </c>
      <c r="G34" s="79">
        <v>-3416582862</v>
      </c>
      <c r="H34" s="79">
        <v>4798920</v>
      </c>
      <c r="I34" s="79">
        <v>1115625</v>
      </c>
      <c r="J34" s="79">
        <v>150303666</v>
      </c>
    </row>
    <row r="35" spans="2:10" hidden="1">
      <c r="B35" t="s">
        <v>115</v>
      </c>
      <c r="C35">
        <v>1330050005</v>
      </c>
      <c r="D35" t="s">
        <v>232</v>
      </c>
      <c r="E35" t="s">
        <v>204</v>
      </c>
      <c r="F35" s="79">
        <v>5000000</v>
      </c>
      <c r="G35" s="79">
        <v>-5000000</v>
      </c>
      <c r="H35">
        <v>0</v>
      </c>
      <c r="I35">
        <v>0</v>
      </c>
      <c r="J35">
        <v>0</v>
      </c>
    </row>
    <row r="36" spans="2:10" hidden="1">
      <c r="B36" t="s">
        <v>115</v>
      </c>
      <c r="C36">
        <v>1330150001</v>
      </c>
      <c r="D36" t="s">
        <v>233</v>
      </c>
      <c r="E36" t="s">
        <v>204</v>
      </c>
      <c r="F36">
        <v>0</v>
      </c>
      <c r="G36" s="79">
        <v>10738000</v>
      </c>
      <c r="H36" s="79">
        <v>17195173</v>
      </c>
      <c r="I36" s="79">
        <v>18646000</v>
      </c>
      <c r="J36" s="79">
        <v>9287173</v>
      </c>
    </row>
    <row r="37" spans="2:10" hidden="1">
      <c r="B37" t="s">
        <v>115</v>
      </c>
      <c r="C37">
        <v>1355150002</v>
      </c>
      <c r="D37" t="s">
        <v>234</v>
      </c>
      <c r="E37" t="s">
        <v>204</v>
      </c>
      <c r="F37" s="79">
        <v>40612096</v>
      </c>
      <c r="G37">
        <v>0</v>
      </c>
      <c r="H37">
        <v>0</v>
      </c>
      <c r="I37">
        <v>0</v>
      </c>
      <c r="J37" s="79">
        <v>40612096</v>
      </c>
    </row>
    <row r="38" spans="2:10" hidden="1">
      <c r="B38" t="s">
        <v>115</v>
      </c>
      <c r="C38">
        <v>1355150004</v>
      </c>
      <c r="D38" t="s">
        <v>235</v>
      </c>
      <c r="E38" t="s">
        <v>204</v>
      </c>
      <c r="F38" s="79">
        <v>5426448</v>
      </c>
      <c r="G38">
        <v>0</v>
      </c>
      <c r="H38">
        <v>0</v>
      </c>
      <c r="I38">
        <v>0</v>
      </c>
      <c r="J38" s="79">
        <v>5426448</v>
      </c>
    </row>
    <row r="39" spans="2:10" hidden="1">
      <c r="B39" t="s">
        <v>115</v>
      </c>
      <c r="C39">
        <v>1355150005</v>
      </c>
      <c r="D39" t="s">
        <v>236</v>
      </c>
      <c r="E39" t="s">
        <v>204</v>
      </c>
      <c r="F39" s="79">
        <v>9623128059</v>
      </c>
      <c r="G39" s="79">
        <v>508325765</v>
      </c>
      <c r="H39" s="79">
        <v>97356721</v>
      </c>
      <c r="I39">
        <v>0</v>
      </c>
      <c r="J39" s="79">
        <v>10228810545</v>
      </c>
    </row>
    <row r="40" spans="2:10" hidden="1">
      <c r="B40" t="s">
        <v>115</v>
      </c>
      <c r="C40">
        <v>1355150010</v>
      </c>
      <c r="D40" t="s">
        <v>237</v>
      </c>
      <c r="E40" t="s">
        <v>204</v>
      </c>
      <c r="F40" s="79">
        <v>18135892</v>
      </c>
      <c r="G40">
        <v>0</v>
      </c>
      <c r="H40">
        <v>0</v>
      </c>
      <c r="I40">
        <v>0</v>
      </c>
      <c r="J40" s="79">
        <v>18135892</v>
      </c>
    </row>
    <row r="41" spans="2:10" hidden="1">
      <c r="B41" t="s">
        <v>115</v>
      </c>
      <c r="C41">
        <v>1355150011</v>
      </c>
      <c r="D41" t="s">
        <v>238</v>
      </c>
      <c r="E41" t="s">
        <v>204</v>
      </c>
      <c r="F41" s="79">
        <v>921414645</v>
      </c>
      <c r="G41">
        <v>0</v>
      </c>
      <c r="H41">
        <v>0</v>
      </c>
      <c r="I41">
        <v>0</v>
      </c>
      <c r="J41" s="79">
        <v>921414645</v>
      </c>
    </row>
    <row r="42" spans="2:10" hidden="1">
      <c r="B42" t="s">
        <v>115</v>
      </c>
      <c r="C42">
        <v>1355150013</v>
      </c>
      <c r="D42" t="s">
        <v>239</v>
      </c>
      <c r="E42" t="s">
        <v>204</v>
      </c>
      <c r="F42" s="79">
        <v>75285</v>
      </c>
      <c r="G42">
        <v>0</v>
      </c>
      <c r="H42">
        <v>0</v>
      </c>
      <c r="I42">
        <v>0</v>
      </c>
      <c r="J42" s="79">
        <v>75285</v>
      </c>
    </row>
    <row r="43" spans="2:10" hidden="1">
      <c r="B43" t="s">
        <v>115</v>
      </c>
      <c r="C43">
        <v>1355150014</v>
      </c>
      <c r="D43" t="s">
        <v>240</v>
      </c>
      <c r="E43" t="s">
        <v>204</v>
      </c>
      <c r="F43" s="79">
        <v>1683005357</v>
      </c>
      <c r="G43">
        <v>0</v>
      </c>
      <c r="H43">
        <v>0</v>
      </c>
      <c r="I43">
        <v>0</v>
      </c>
      <c r="J43" s="79">
        <v>1683005357</v>
      </c>
    </row>
    <row r="44" spans="2:10" hidden="1">
      <c r="B44" t="s">
        <v>115</v>
      </c>
      <c r="C44">
        <v>1355150015</v>
      </c>
      <c r="D44" t="s">
        <v>241</v>
      </c>
      <c r="E44" t="s">
        <v>204</v>
      </c>
      <c r="F44" s="79">
        <v>45701781</v>
      </c>
      <c r="G44" s="79">
        <v>474799</v>
      </c>
      <c r="H44">
        <v>0</v>
      </c>
      <c r="I44">
        <v>0</v>
      </c>
      <c r="J44" s="79">
        <v>46176580</v>
      </c>
    </row>
    <row r="45" spans="2:10" hidden="1">
      <c r="B45" t="s">
        <v>115</v>
      </c>
      <c r="C45">
        <v>1355150016</v>
      </c>
      <c r="D45" t="s">
        <v>242</v>
      </c>
      <c r="E45" t="s">
        <v>204</v>
      </c>
      <c r="F45" s="79">
        <v>72237220</v>
      </c>
      <c r="G45">
        <v>0</v>
      </c>
      <c r="H45">
        <v>0</v>
      </c>
      <c r="I45">
        <v>0</v>
      </c>
      <c r="J45" s="79">
        <v>72237220</v>
      </c>
    </row>
    <row r="46" spans="2:10" hidden="1">
      <c r="B46" t="s">
        <v>115</v>
      </c>
      <c r="C46">
        <v>1355150017</v>
      </c>
      <c r="D46" t="s">
        <v>243</v>
      </c>
      <c r="E46" t="s">
        <v>204</v>
      </c>
      <c r="F46" s="79">
        <v>7646033</v>
      </c>
      <c r="G46">
        <v>0</v>
      </c>
      <c r="H46">
        <v>0</v>
      </c>
      <c r="I46">
        <v>0</v>
      </c>
      <c r="J46" s="79">
        <v>7646033</v>
      </c>
    </row>
    <row r="47" spans="2:10" hidden="1">
      <c r="B47" t="s">
        <v>115</v>
      </c>
      <c r="C47">
        <v>1355150018</v>
      </c>
      <c r="D47" t="s">
        <v>244</v>
      </c>
      <c r="E47" t="s">
        <v>204</v>
      </c>
      <c r="F47" s="79">
        <v>2024937</v>
      </c>
      <c r="G47">
        <v>0</v>
      </c>
      <c r="H47">
        <v>0</v>
      </c>
      <c r="I47">
        <v>0</v>
      </c>
      <c r="J47" s="79">
        <v>2024937</v>
      </c>
    </row>
    <row r="48" spans="2:10" hidden="1">
      <c r="B48" t="s">
        <v>115</v>
      </c>
      <c r="C48">
        <v>1355150021</v>
      </c>
      <c r="D48" t="s">
        <v>245</v>
      </c>
      <c r="E48" t="s">
        <v>204</v>
      </c>
      <c r="F48" s="79">
        <v>1307599626</v>
      </c>
      <c r="G48" s="79">
        <v>140964000</v>
      </c>
      <c r="H48">
        <v>0</v>
      </c>
      <c r="I48">
        <v>0</v>
      </c>
      <c r="J48" s="79">
        <v>1448563626</v>
      </c>
    </row>
    <row r="49" spans="2:10" hidden="1">
      <c r="B49" t="s">
        <v>115</v>
      </c>
      <c r="C49">
        <v>1355150090</v>
      </c>
      <c r="D49" t="s">
        <v>246</v>
      </c>
      <c r="E49" t="s">
        <v>204</v>
      </c>
      <c r="F49" s="79">
        <v>-11497945974</v>
      </c>
      <c r="G49" s="79">
        <v>-1130621000</v>
      </c>
      <c r="H49">
        <v>0</v>
      </c>
      <c r="I49">
        <v>0</v>
      </c>
      <c r="J49" s="79">
        <v>-12628566974</v>
      </c>
    </row>
    <row r="50" spans="2:10" hidden="1">
      <c r="B50" t="s">
        <v>115</v>
      </c>
      <c r="C50">
        <v>1355160002</v>
      </c>
      <c r="D50" t="s">
        <v>247</v>
      </c>
      <c r="E50" t="s">
        <v>204</v>
      </c>
      <c r="F50" s="79">
        <v>154880745</v>
      </c>
      <c r="G50">
        <v>0</v>
      </c>
      <c r="H50">
        <v>0</v>
      </c>
      <c r="I50">
        <v>0</v>
      </c>
      <c r="J50" s="79">
        <v>154880745</v>
      </c>
    </row>
    <row r="51" spans="2:10" hidden="1">
      <c r="B51" t="s">
        <v>115</v>
      </c>
      <c r="C51">
        <v>1355160005</v>
      </c>
      <c r="D51" t="s">
        <v>248</v>
      </c>
      <c r="E51" t="s">
        <v>204</v>
      </c>
      <c r="F51" s="79">
        <v>-154880745</v>
      </c>
      <c r="G51">
        <v>0</v>
      </c>
      <c r="H51">
        <v>0</v>
      </c>
      <c r="I51">
        <v>0</v>
      </c>
      <c r="J51" s="79">
        <v>-154880745</v>
      </c>
    </row>
    <row r="52" spans="2:10" hidden="1">
      <c r="B52" t="s">
        <v>115</v>
      </c>
      <c r="C52">
        <v>1355170001</v>
      </c>
      <c r="D52" t="s">
        <v>249</v>
      </c>
      <c r="E52" t="s">
        <v>204</v>
      </c>
      <c r="F52">
        <v>0</v>
      </c>
      <c r="G52" s="79">
        <v>9089604</v>
      </c>
      <c r="H52" s="79">
        <v>24024443</v>
      </c>
      <c r="I52">
        <v>0</v>
      </c>
      <c r="J52" s="79">
        <v>33114047</v>
      </c>
    </row>
    <row r="53" spans="2:10" hidden="1">
      <c r="B53" t="s">
        <v>115</v>
      </c>
      <c r="C53">
        <v>1355180001</v>
      </c>
      <c r="D53" t="s">
        <v>250</v>
      </c>
      <c r="E53" t="s">
        <v>204</v>
      </c>
      <c r="F53">
        <v>0</v>
      </c>
      <c r="G53" s="79">
        <v>1078185</v>
      </c>
      <c r="H53">
        <v>0</v>
      </c>
      <c r="I53">
        <v>0</v>
      </c>
      <c r="J53" s="79">
        <v>1078185</v>
      </c>
    </row>
    <row r="54" spans="2:10" hidden="1">
      <c r="B54" t="s">
        <v>115</v>
      </c>
      <c r="C54">
        <v>1355950002</v>
      </c>
      <c r="D54" t="s">
        <v>251</v>
      </c>
      <c r="E54" t="s">
        <v>204</v>
      </c>
      <c r="F54" s="79">
        <v>843190000</v>
      </c>
      <c r="G54" s="79">
        <v>-815193000</v>
      </c>
      <c r="H54">
        <v>0</v>
      </c>
      <c r="I54">
        <v>0</v>
      </c>
      <c r="J54" s="79">
        <v>27997000</v>
      </c>
    </row>
    <row r="55" spans="2:10" hidden="1">
      <c r="B55" t="s">
        <v>115</v>
      </c>
      <c r="C55">
        <v>1355950005</v>
      </c>
      <c r="D55" t="s">
        <v>251</v>
      </c>
      <c r="E55" t="s">
        <v>204</v>
      </c>
      <c r="F55" s="79">
        <v>25023</v>
      </c>
      <c r="G55">
        <v>0</v>
      </c>
      <c r="H55">
        <v>0</v>
      </c>
      <c r="I55">
        <v>0</v>
      </c>
      <c r="J55" s="79">
        <v>25023</v>
      </c>
    </row>
    <row r="56" spans="2:10" hidden="1">
      <c r="B56" t="s">
        <v>115</v>
      </c>
      <c r="C56">
        <v>1365950001</v>
      </c>
      <c r="D56" t="s">
        <v>252</v>
      </c>
      <c r="E56" t="s">
        <v>204</v>
      </c>
      <c r="F56" s="79">
        <v>12800000</v>
      </c>
      <c r="G56" s="79">
        <v>-3584957</v>
      </c>
      <c r="H56">
        <v>0</v>
      </c>
      <c r="I56" s="79">
        <v>300000</v>
      </c>
      <c r="J56" s="79">
        <v>8915043</v>
      </c>
    </row>
    <row r="57" spans="2:10" hidden="1">
      <c r="B57" t="s">
        <v>115</v>
      </c>
      <c r="C57">
        <v>1380950001</v>
      </c>
      <c r="D57" t="s">
        <v>253</v>
      </c>
      <c r="E57" t="s">
        <v>204</v>
      </c>
      <c r="F57" s="79">
        <v>8819535217</v>
      </c>
      <c r="G57" s="79">
        <v>663323704</v>
      </c>
      <c r="H57" s="79">
        <v>181226714</v>
      </c>
      <c r="I57" s="79">
        <v>100000000</v>
      </c>
      <c r="J57" s="79">
        <v>9564085635</v>
      </c>
    </row>
    <row r="58" spans="2:10" hidden="1">
      <c r="B58" t="s">
        <v>115</v>
      </c>
      <c r="C58">
        <v>1380950081</v>
      </c>
      <c r="D58" t="s">
        <v>253</v>
      </c>
      <c r="E58" t="s">
        <v>204</v>
      </c>
      <c r="F58" s="79">
        <v>-8813557855</v>
      </c>
      <c r="G58" s="79">
        <v>-645138115</v>
      </c>
      <c r="H58">
        <v>0</v>
      </c>
      <c r="I58">
        <v>0</v>
      </c>
      <c r="J58" s="79">
        <v>-9458695970</v>
      </c>
    </row>
    <row r="59" spans="2:10" hidden="1">
      <c r="B59" t="s">
        <v>115</v>
      </c>
      <c r="C59">
        <v>1380950082</v>
      </c>
      <c r="D59" t="s">
        <v>253</v>
      </c>
      <c r="E59" t="s">
        <v>204</v>
      </c>
      <c r="F59" s="79">
        <v>8813557855</v>
      </c>
      <c r="G59" s="79">
        <v>645138115</v>
      </c>
      <c r="H59">
        <v>0</v>
      </c>
      <c r="I59">
        <v>0</v>
      </c>
      <c r="J59" s="79">
        <v>9458695970</v>
      </c>
    </row>
    <row r="60" spans="2:10" hidden="1">
      <c r="B60" t="s">
        <v>115</v>
      </c>
      <c r="C60">
        <v>1380950098</v>
      </c>
      <c r="D60" t="s">
        <v>254</v>
      </c>
      <c r="E60" t="s">
        <v>204</v>
      </c>
      <c r="F60" s="79">
        <v>-5977362</v>
      </c>
      <c r="G60" s="79">
        <v>-18185589</v>
      </c>
      <c r="H60" s="79">
        <v>24162951</v>
      </c>
      <c r="I60" s="79">
        <v>42213957</v>
      </c>
      <c r="J60" s="79">
        <v>-42213957</v>
      </c>
    </row>
    <row r="61" spans="2:10" hidden="1">
      <c r="B61" t="s">
        <v>115</v>
      </c>
      <c r="C61">
        <v>1435010510</v>
      </c>
      <c r="D61" t="s">
        <v>255</v>
      </c>
      <c r="E61" t="s">
        <v>204</v>
      </c>
      <c r="F61" s="79">
        <v>12228269</v>
      </c>
      <c r="G61" s="79">
        <v>-3476401</v>
      </c>
      <c r="H61" s="79">
        <v>345100</v>
      </c>
      <c r="I61" s="79">
        <v>3383320</v>
      </c>
      <c r="J61" s="79">
        <v>5713648</v>
      </c>
    </row>
    <row r="62" spans="2:10" hidden="1">
      <c r="B62" t="s">
        <v>115</v>
      </c>
      <c r="C62">
        <v>1435010515</v>
      </c>
      <c r="D62" t="s">
        <v>256</v>
      </c>
      <c r="E62" t="s">
        <v>204</v>
      </c>
      <c r="F62">
        <v>73</v>
      </c>
      <c r="G62">
        <v>0</v>
      </c>
      <c r="H62" s="79">
        <v>21026</v>
      </c>
      <c r="I62" s="79">
        <v>21026</v>
      </c>
      <c r="J62">
        <v>73</v>
      </c>
    </row>
    <row r="63" spans="2:10" hidden="1">
      <c r="B63" t="s">
        <v>115</v>
      </c>
      <c r="C63">
        <v>1435010520</v>
      </c>
      <c r="D63" t="s">
        <v>257</v>
      </c>
      <c r="E63" t="s">
        <v>204</v>
      </c>
      <c r="F63" s="79">
        <v>9716961</v>
      </c>
      <c r="G63" s="79">
        <v>-6015070</v>
      </c>
      <c r="H63" s="79">
        <v>7532206</v>
      </c>
      <c r="I63" s="79">
        <v>3491153</v>
      </c>
      <c r="J63" s="79">
        <v>7742944</v>
      </c>
    </row>
    <row r="64" spans="2:10" hidden="1">
      <c r="B64" t="s">
        <v>115</v>
      </c>
      <c r="C64">
        <v>1455010501</v>
      </c>
      <c r="D64" t="s">
        <v>258</v>
      </c>
      <c r="E64" t="s">
        <v>204</v>
      </c>
      <c r="F64" s="79">
        <v>161297216</v>
      </c>
      <c r="G64" s="79">
        <v>49398891</v>
      </c>
      <c r="H64" s="79">
        <v>29458549</v>
      </c>
      <c r="I64" s="79">
        <v>49790979</v>
      </c>
      <c r="J64" s="79">
        <v>190363677</v>
      </c>
    </row>
    <row r="65" spans="2:10" hidden="1">
      <c r="B65" t="s">
        <v>115</v>
      </c>
      <c r="C65">
        <v>1460010501</v>
      </c>
      <c r="D65" t="s">
        <v>259</v>
      </c>
      <c r="E65" t="s">
        <v>204</v>
      </c>
      <c r="F65" s="79">
        <v>278399</v>
      </c>
      <c r="G65" s="79">
        <v>-172800</v>
      </c>
      <c r="H65">
        <v>0</v>
      </c>
      <c r="I65">
        <v>0</v>
      </c>
      <c r="J65" s="79">
        <v>105599</v>
      </c>
    </row>
    <row r="66" spans="2:10" hidden="1">
      <c r="B66" t="s">
        <v>115</v>
      </c>
      <c r="C66">
        <v>1504050001</v>
      </c>
      <c r="D66" t="s">
        <v>260</v>
      </c>
      <c r="E66" t="s">
        <v>204</v>
      </c>
      <c r="F66" s="79">
        <v>-71500000</v>
      </c>
      <c r="G66">
        <v>0</v>
      </c>
      <c r="H66">
        <v>0</v>
      </c>
      <c r="I66">
        <v>0</v>
      </c>
      <c r="J66" s="79">
        <v>-71500000</v>
      </c>
    </row>
    <row r="67" spans="2:10" hidden="1">
      <c r="B67" t="s">
        <v>115</v>
      </c>
      <c r="C67">
        <v>1504100001</v>
      </c>
      <c r="D67" t="s">
        <v>261</v>
      </c>
      <c r="E67" t="s">
        <v>204</v>
      </c>
      <c r="F67" s="79">
        <v>71500000</v>
      </c>
      <c r="G67">
        <v>0</v>
      </c>
      <c r="H67">
        <v>0</v>
      </c>
      <c r="I67">
        <v>0</v>
      </c>
      <c r="J67" s="79">
        <v>71500000</v>
      </c>
    </row>
    <row r="68" spans="2:10" hidden="1">
      <c r="B68" t="s">
        <v>115</v>
      </c>
      <c r="C68">
        <v>1512010001</v>
      </c>
      <c r="D68" t="s">
        <v>262</v>
      </c>
      <c r="E68" t="s">
        <v>204</v>
      </c>
      <c r="F68" s="79">
        <v>31381105</v>
      </c>
      <c r="G68">
        <v>0</v>
      </c>
      <c r="H68">
        <v>0</v>
      </c>
      <c r="I68">
        <v>0</v>
      </c>
      <c r="J68" s="79">
        <v>31381105</v>
      </c>
    </row>
    <row r="69" spans="2:10" hidden="1">
      <c r="B69" t="s">
        <v>115</v>
      </c>
      <c r="C69">
        <v>1516000001</v>
      </c>
      <c r="D69" t="s">
        <v>263</v>
      </c>
      <c r="E69" t="s">
        <v>204</v>
      </c>
      <c r="F69" s="79">
        <v>1887391307</v>
      </c>
      <c r="G69">
        <v>0</v>
      </c>
      <c r="H69">
        <v>0</v>
      </c>
      <c r="I69">
        <v>0</v>
      </c>
      <c r="J69" s="79">
        <v>1887391307</v>
      </c>
    </row>
    <row r="70" spans="2:10" hidden="1">
      <c r="B70" t="s">
        <v>115</v>
      </c>
      <c r="C70">
        <v>1520000001</v>
      </c>
      <c r="D70" t="s">
        <v>264</v>
      </c>
      <c r="E70" t="s">
        <v>204</v>
      </c>
      <c r="F70" s="79">
        <v>9511393132</v>
      </c>
      <c r="G70" s="79">
        <v>454350557</v>
      </c>
      <c r="H70" s="79">
        <v>26073523</v>
      </c>
      <c r="I70">
        <v>0</v>
      </c>
      <c r="J70" s="79">
        <v>9991817212</v>
      </c>
    </row>
    <row r="71" spans="2:10" hidden="1">
      <c r="B71" t="s">
        <v>115</v>
      </c>
      <c r="C71">
        <v>1524000001</v>
      </c>
      <c r="D71" t="s">
        <v>265</v>
      </c>
      <c r="E71" t="s">
        <v>204</v>
      </c>
      <c r="F71" s="79">
        <v>140994527</v>
      </c>
      <c r="G71">
        <v>0</v>
      </c>
      <c r="H71">
        <v>0</v>
      </c>
      <c r="I71">
        <v>0</v>
      </c>
      <c r="J71" s="79">
        <v>140994527</v>
      </c>
    </row>
    <row r="72" spans="2:10" hidden="1">
      <c r="B72" t="s">
        <v>115</v>
      </c>
      <c r="C72">
        <v>1528000001</v>
      </c>
      <c r="D72" t="s">
        <v>266</v>
      </c>
      <c r="E72" t="s">
        <v>204</v>
      </c>
      <c r="F72" s="79">
        <v>168030616</v>
      </c>
      <c r="G72" s="79">
        <v>9547360</v>
      </c>
      <c r="H72">
        <v>0</v>
      </c>
      <c r="I72">
        <v>0</v>
      </c>
      <c r="J72" s="79">
        <v>177577976</v>
      </c>
    </row>
    <row r="73" spans="2:10" hidden="1">
      <c r="B73" t="s">
        <v>115</v>
      </c>
      <c r="C73">
        <v>1532000001</v>
      </c>
      <c r="D73" t="s">
        <v>267</v>
      </c>
      <c r="E73" t="s">
        <v>204</v>
      </c>
      <c r="F73" s="79">
        <v>4159504</v>
      </c>
      <c r="G73">
        <v>0</v>
      </c>
      <c r="H73">
        <v>0</v>
      </c>
      <c r="I73">
        <v>0</v>
      </c>
      <c r="J73" s="79">
        <v>4159504</v>
      </c>
    </row>
    <row r="74" spans="2:10" hidden="1">
      <c r="B74" t="s">
        <v>115</v>
      </c>
      <c r="C74">
        <v>1540000001</v>
      </c>
      <c r="D74" t="s">
        <v>268</v>
      </c>
      <c r="E74" t="s">
        <v>204</v>
      </c>
      <c r="F74" s="79">
        <v>1123772322</v>
      </c>
      <c r="G74">
        <v>0</v>
      </c>
      <c r="H74">
        <v>0</v>
      </c>
      <c r="I74">
        <v>0</v>
      </c>
      <c r="J74" s="79">
        <v>1123772322</v>
      </c>
    </row>
    <row r="75" spans="2:10" hidden="1">
      <c r="B75" t="s">
        <v>115</v>
      </c>
      <c r="C75">
        <v>1544000001</v>
      </c>
      <c r="D75" t="s">
        <v>269</v>
      </c>
      <c r="E75" t="s">
        <v>204</v>
      </c>
      <c r="F75" s="79">
        <v>144526690</v>
      </c>
      <c r="G75">
        <v>0</v>
      </c>
      <c r="H75">
        <v>0</v>
      </c>
      <c r="I75">
        <v>0</v>
      </c>
      <c r="J75" s="79">
        <v>144526690</v>
      </c>
    </row>
    <row r="76" spans="2:10" hidden="1">
      <c r="B76" t="s">
        <v>115</v>
      </c>
      <c r="C76">
        <v>1560000001</v>
      </c>
      <c r="D76" t="s">
        <v>270</v>
      </c>
      <c r="E76" t="s">
        <v>204</v>
      </c>
      <c r="F76" s="79">
        <v>177998964</v>
      </c>
      <c r="G76">
        <v>0</v>
      </c>
      <c r="H76">
        <v>0</v>
      </c>
      <c r="I76">
        <v>0</v>
      </c>
      <c r="J76" s="79">
        <v>177998964</v>
      </c>
    </row>
    <row r="77" spans="2:10" hidden="1">
      <c r="B77" t="s">
        <v>115</v>
      </c>
      <c r="C77">
        <v>1592050001</v>
      </c>
      <c r="D77" t="s">
        <v>271</v>
      </c>
      <c r="E77" t="s">
        <v>204</v>
      </c>
      <c r="F77" s="79">
        <v>-986971786</v>
      </c>
      <c r="G77" s="79">
        <v>-47247102</v>
      </c>
      <c r="H77">
        <v>0</v>
      </c>
      <c r="I77" s="79">
        <v>7874516</v>
      </c>
      <c r="J77" s="79">
        <v>-1042093404</v>
      </c>
    </row>
    <row r="78" spans="2:10" hidden="1">
      <c r="B78" t="s">
        <v>115</v>
      </c>
      <c r="C78">
        <v>1592100001</v>
      </c>
      <c r="D78" t="s">
        <v>272</v>
      </c>
      <c r="E78" t="s">
        <v>204</v>
      </c>
      <c r="F78" s="79">
        <v>-6323638126</v>
      </c>
      <c r="G78" s="79">
        <v>-209127104</v>
      </c>
      <c r="H78">
        <v>0</v>
      </c>
      <c r="I78" s="79">
        <v>35285837</v>
      </c>
      <c r="J78" s="79">
        <v>-6568051067</v>
      </c>
    </row>
    <row r="79" spans="2:10" hidden="1">
      <c r="B79" t="s">
        <v>115</v>
      </c>
      <c r="C79">
        <v>1592100081</v>
      </c>
      <c r="D79" t="s">
        <v>272</v>
      </c>
      <c r="E79" t="s">
        <v>204</v>
      </c>
      <c r="F79" s="79">
        <v>-2335524234</v>
      </c>
      <c r="G79">
        <v>0</v>
      </c>
      <c r="H79">
        <v>0</v>
      </c>
      <c r="I79">
        <v>0</v>
      </c>
      <c r="J79" s="79">
        <v>-2335524234</v>
      </c>
    </row>
    <row r="80" spans="2:10" hidden="1">
      <c r="B80" t="s">
        <v>115</v>
      </c>
      <c r="C80">
        <v>1592150001</v>
      </c>
      <c r="D80" t="s">
        <v>273</v>
      </c>
      <c r="E80" t="s">
        <v>204</v>
      </c>
      <c r="F80" s="79">
        <v>-127409806</v>
      </c>
      <c r="G80" s="79">
        <v>-1941435</v>
      </c>
      <c r="H80">
        <v>0</v>
      </c>
      <c r="I80" s="79">
        <v>287554</v>
      </c>
      <c r="J80" s="79">
        <v>-129638795</v>
      </c>
    </row>
    <row r="81" spans="2:10" hidden="1">
      <c r="B81" t="s">
        <v>115</v>
      </c>
      <c r="C81">
        <v>1592200001</v>
      </c>
      <c r="D81" t="s">
        <v>274</v>
      </c>
      <c r="E81" t="s">
        <v>204</v>
      </c>
      <c r="F81" s="79">
        <v>-126778846</v>
      </c>
      <c r="G81" s="79">
        <v>-9040949</v>
      </c>
      <c r="H81">
        <v>0</v>
      </c>
      <c r="I81" s="79">
        <v>1506154</v>
      </c>
      <c r="J81" s="79">
        <v>-137325949</v>
      </c>
    </row>
    <row r="82" spans="2:10" hidden="1">
      <c r="B82" t="s">
        <v>115</v>
      </c>
      <c r="C82">
        <v>1592250001</v>
      </c>
      <c r="D82" t="s">
        <v>275</v>
      </c>
      <c r="E82" t="s">
        <v>204</v>
      </c>
      <c r="F82" s="79">
        <v>-4159504</v>
      </c>
      <c r="G82">
        <v>0</v>
      </c>
      <c r="H82">
        <v>0</v>
      </c>
      <c r="I82">
        <v>0</v>
      </c>
      <c r="J82" s="79">
        <v>-4159504</v>
      </c>
    </row>
    <row r="83" spans="2:10" hidden="1">
      <c r="B83" t="s">
        <v>115</v>
      </c>
      <c r="C83">
        <v>1592350001</v>
      </c>
      <c r="D83" t="s">
        <v>276</v>
      </c>
      <c r="E83" t="s">
        <v>204</v>
      </c>
      <c r="F83" s="79">
        <v>-668959157</v>
      </c>
      <c r="G83" s="79">
        <v>-75439833</v>
      </c>
      <c r="H83">
        <v>0</v>
      </c>
      <c r="I83" s="79">
        <v>12306666</v>
      </c>
      <c r="J83" s="79">
        <v>-756705656</v>
      </c>
    </row>
    <row r="84" spans="2:10" hidden="1">
      <c r="B84" t="s">
        <v>115</v>
      </c>
      <c r="C84">
        <v>1592400001</v>
      </c>
      <c r="D84" t="s">
        <v>277</v>
      </c>
      <c r="E84" t="s">
        <v>204</v>
      </c>
      <c r="F84" s="79">
        <v>-136630766</v>
      </c>
      <c r="G84" s="79">
        <v>-2682734</v>
      </c>
      <c r="H84">
        <v>0</v>
      </c>
      <c r="I84" s="79">
        <v>447122</v>
      </c>
      <c r="J84" s="79">
        <v>-139760622</v>
      </c>
    </row>
    <row r="85" spans="2:10" hidden="1">
      <c r="B85" t="s">
        <v>115</v>
      </c>
      <c r="C85">
        <v>1592600001</v>
      </c>
      <c r="D85" t="s">
        <v>278</v>
      </c>
      <c r="E85" t="s">
        <v>204</v>
      </c>
      <c r="F85" s="79">
        <v>-120879572</v>
      </c>
      <c r="G85" s="79">
        <v>-5192671</v>
      </c>
      <c r="H85">
        <v>0</v>
      </c>
      <c r="I85" s="79">
        <v>865446</v>
      </c>
      <c r="J85" s="79">
        <v>-126937689</v>
      </c>
    </row>
    <row r="86" spans="2:10" hidden="1">
      <c r="B86" t="s">
        <v>115</v>
      </c>
      <c r="C86">
        <v>1705200002</v>
      </c>
      <c r="D86" t="s">
        <v>279</v>
      </c>
      <c r="E86" t="s">
        <v>204</v>
      </c>
      <c r="F86" s="79">
        <v>407851159</v>
      </c>
      <c r="G86">
        <v>0</v>
      </c>
      <c r="H86" s="79">
        <v>128214264</v>
      </c>
      <c r="I86">
        <v>0</v>
      </c>
      <c r="J86" s="79">
        <v>536065423</v>
      </c>
    </row>
    <row r="87" spans="2:10" hidden="1">
      <c r="B87" t="s">
        <v>115</v>
      </c>
      <c r="C87">
        <v>1705980001</v>
      </c>
      <c r="D87" t="s">
        <v>280</v>
      </c>
      <c r="E87" t="s">
        <v>204</v>
      </c>
      <c r="F87" s="79">
        <v>-96961349</v>
      </c>
      <c r="G87" s="79">
        <v>-203925579</v>
      </c>
      <c r="H87">
        <v>0</v>
      </c>
      <c r="I87" s="79">
        <v>33987597</v>
      </c>
      <c r="J87" s="79">
        <v>-334874525</v>
      </c>
    </row>
    <row r="88" spans="2:10" hidden="1">
      <c r="B88" t="s">
        <v>115</v>
      </c>
      <c r="C88">
        <v>1710120001</v>
      </c>
      <c r="D88" t="s">
        <v>281</v>
      </c>
      <c r="E88" t="s">
        <v>204</v>
      </c>
      <c r="F88" s="79">
        <v>752588954</v>
      </c>
      <c r="G88" s="79">
        <v>171192090</v>
      </c>
      <c r="H88" s="79">
        <v>17826983</v>
      </c>
      <c r="I88" s="79">
        <v>349549</v>
      </c>
      <c r="J88" s="79">
        <v>941258478</v>
      </c>
    </row>
    <row r="89" spans="2:10" hidden="1">
      <c r="B89" t="s">
        <v>115</v>
      </c>
      <c r="C89">
        <v>1710160001</v>
      </c>
      <c r="D89" t="s">
        <v>282</v>
      </c>
      <c r="E89" t="s">
        <v>204</v>
      </c>
      <c r="F89" s="79">
        <v>-25409220</v>
      </c>
      <c r="G89">
        <v>0</v>
      </c>
      <c r="H89">
        <v>0</v>
      </c>
      <c r="I89">
        <v>0</v>
      </c>
      <c r="J89" s="79">
        <v>-25409220</v>
      </c>
    </row>
    <row r="90" spans="2:10" hidden="1">
      <c r="B90" t="s">
        <v>115</v>
      </c>
      <c r="C90">
        <v>1710160081</v>
      </c>
      <c r="D90" t="s">
        <v>282</v>
      </c>
      <c r="E90" t="s">
        <v>204</v>
      </c>
      <c r="F90" s="79">
        <v>25409220</v>
      </c>
      <c r="G90">
        <v>0</v>
      </c>
      <c r="H90">
        <v>0</v>
      </c>
      <c r="I90">
        <v>0</v>
      </c>
      <c r="J90" s="79">
        <v>25409220</v>
      </c>
    </row>
    <row r="91" spans="2:10" hidden="1">
      <c r="B91" t="s">
        <v>115</v>
      </c>
      <c r="C91">
        <v>1710760001</v>
      </c>
      <c r="D91" t="s">
        <v>283</v>
      </c>
      <c r="E91" t="s">
        <v>204</v>
      </c>
      <c r="F91" s="79">
        <v>215706350</v>
      </c>
      <c r="G91" s="79">
        <v>36406096</v>
      </c>
      <c r="H91">
        <v>0</v>
      </c>
      <c r="I91">
        <v>0</v>
      </c>
      <c r="J91" s="79">
        <v>252112446</v>
      </c>
    </row>
    <row r="92" spans="2:10" hidden="1">
      <c r="B92" t="s">
        <v>115</v>
      </c>
      <c r="C92">
        <v>1710980001</v>
      </c>
      <c r="D92" t="s">
        <v>284</v>
      </c>
      <c r="E92" t="s">
        <v>204</v>
      </c>
      <c r="F92" s="79">
        <v>-514816609</v>
      </c>
      <c r="G92" s="79">
        <v>-99212326</v>
      </c>
      <c r="H92">
        <v>0</v>
      </c>
      <c r="I92" s="79">
        <v>21981979</v>
      </c>
      <c r="J92" s="79">
        <v>-636010914</v>
      </c>
    </row>
    <row r="93" spans="2:10" hidden="1">
      <c r="B93" t="s">
        <v>115</v>
      </c>
      <c r="C93">
        <v>1710990001</v>
      </c>
      <c r="D93" t="s">
        <v>285</v>
      </c>
      <c r="E93" t="s">
        <v>204</v>
      </c>
      <c r="F93" s="79">
        <v>11856484</v>
      </c>
      <c r="G93">
        <v>0</v>
      </c>
      <c r="H93">
        <v>0</v>
      </c>
      <c r="I93">
        <v>0</v>
      </c>
      <c r="J93" s="79">
        <v>11856484</v>
      </c>
    </row>
    <row r="94" spans="2:10" hidden="1">
      <c r="B94" t="s">
        <v>115</v>
      </c>
      <c r="C94">
        <v>1710990002</v>
      </c>
      <c r="D94" t="s">
        <v>285</v>
      </c>
      <c r="E94" t="s">
        <v>204</v>
      </c>
      <c r="F94" s="79">
        <v>-11856484</v>
      </c>
      <c r="G94">
        <v>0</v>
      </c>
      <c r="H94">
        <v>0</v>
      </c>
      <c r="I94">
        <v>0</v>
      </c>
      <c r="J94" s="79">
        <v>-11856484</v>
      </c>
    </row>
    <row r="95" spans="2:10" hidden="1">
      <c r="B95" t="s">
        <v>115</v>
      </c>
      <c r="C95">
        <v>1895950010</v>
      </c>
      <c r="D95" t="s">
        <v>286</v>
      </c>
      <c r="E95" t="s">
        <v>204</v>
      </c>
      <c r="F95" s="79">
        <v>75385522</v>
      </c>
      <c r="G95">
        <v>0</v>
      </c>
      <c r="H95">
        <v>0</v>
      </c>
      <c r="I95">
        <v>0</v>
      </c>
      <c r="J95" s="79">
        <v>75385522</v>
      </c>
    </row>
    <row r="96" spans="2:10" hidden="1">
      <c r="B96" t="s">
        <v>115</v>
      </c>
      <c r="C96">
        <v>1895950081</v>
      </c>
      <c r="D96" t="s">
        <v>286</v>
      </c>
      <c r="E96" t="s">
        <v>204</v>
      </c>
      <c r="F96" s="79">
        <v>75385522</v>
      </c>
      <c r="G96">
        <v>0</v>
      </c>
      <c r="H96">
        <v>0</v>
      </c>
      <c r="I96">
        <v>0</v>
      </c>
      <c r="J96" s="79">
        <v>75385522</v>
      </c>
    </row>
    <row r="97" spans="2:10" hidden="1">
      <c r="B97" t="s">
        <v>115</v>
      </c>
      <c r="C97">
        <v>1895950082</v>
      </c>
      <c r="D97" t="s">
        <v>286</v>
      </c>
      <c r="E97" t="s">
        <v>204</v>
      </c>
      <c r="F97" s="79">
        <v>-75385522</v>
      </c>
      <c r="G97">
        <v>0</v>
      </c>
      <c r="H97">
        <v>0</v>
      </c>
      <c r="I97">
        <v>0</v>
      </c>
      <c r="J97" s="79">
        <v>-75385522</v>
      </c>
    </row>
    <row r="98" spans="2:10" hidden="1">
      <c r="B98" t="s">
        <v>115</v>
      </c>
      <c r="C98">
        <v>1905050001</v>
      </c>
      <c r="D98" t="s">
        <v>287</v>
      </c>
      <c r="E98" t="s">
        <v>204</v>
      </c>
      <c r="F98" s="79">
        <v>80016358</v>
      </c>
      <c r="G98">
        <v>0</v>
      </c>
      <c r="H98">
        <v>0</v>
      </c>
      <c r="I98">
        <v>0</v>
      </c>
      <c r="J98" s="79">
        <v>80016358</v>
      </c>
    </row>
    <row r="99" spans="2:10" hidden="1">
      <c r="B99" t="s">
        <v>115</v>
      </c>
      <c r="C99">
        <v>1905100001</v>
      </c>
      <c r="D99" t="s">
        <v>288</v>
      </c>
      <c r="E99" t="s">
        <v>204</v>
      </c>
      <c r="F99" s="79">
        <v>80502885</v>
      </c>
      <c r="G99">
        <v>0</v>
      </c>
      <c r="H99">
        <v>0</v>
      </c>
      <c r="I99">
        <v>0</v>
      </c>
      <c r="J99" s="79">
        <v>80502885</v>
      </c>
    </row>
    <row r="100" spans="2:10" hidden="1">
      <c r="B100" t="s">
        <v>115</v>
      </c>
      <c r="C100">
        <v>1910120001</v>
      </c>
      <c r="D100" t="s">
        <v>289</v>
      </c>
      <c r="E100" t="s">
        <v>204</v>
      </c>
      <c r="F100" s="79">
        <v>14755638207</v>
      </c>
      <c r="G100">
        <v>0</v>
      </c>
      <c r="H100">
        <v>0</v>
      </c>
      <c r="I100">
        <v>0</v>
      </c>
      <c r="J100" s="79">
        <v>14755638207</v>
      </c>
    </row>
    <row r="101" spans="2:10" hidden="1">
      <c r="B101" t="s">
        <v>115</v>
      </c>
      <c r="C101">
        <v>2105100001</v>
      </c>
      <c r="D101" t="s">
        <v>290</v>
      </c>
      <c r="E101" t="s">
        <v>204</v>
      </c>
      <c r="F101" s="79">
        <v>-22658429789</v>
      </c>
      <c r="G101" s="79">
        <v>69192275</v>
      </c>
      <c r="H101" s="79">
        <v>22045659252</v>
      </c>
      <c r="I101" s="79">
        <v>17345800444</v>
      </c>
      <c r="J101" s="79">
        <v>-17889378706</v>
      </c>
    </row>
    <row r="102" spans="2:10" hidden="1">
      <c r="B102" t="s">
        <v>115</v>
      </c>
      <c r="C102">
        <v>2105100002</v>
      </c>
      <c r="D102" t="s">
        <v>291</v>
      </c>
      <c r="E102" t="s">
        <v>204</v>
      </c>
      <c r="F102" s="79">
        <v>-527103182</v>
      </c>
      <c r="G102" s="79">
        <v>119613746</v>
      </c>
      <c r="H102" s="79">
        <v>407489436</v>
      </c>
      <c r="I102" s="79">
        <v>391659624</v>
      </c>
      <c r="J102" s="79">
        <v>-391659624</v>
      </c>
    </row>
    <row r="103" spans="2:10" hidden="1">
      <c r="B103" t="s">
        <v>115</v>
      </c>
      <c r="C103">
        <v>2105100081</v>
      </c>
      <c r="D103" t="s">
        <v>290</v>
      </c>
      <c r="E103" t="s">
        <v>204</v>
      </c>
      <c r="F103" s="79">
        <v>19413316834</v>
      </c>
      <c r="G103" s="79">
        <v>-1578735640</v>
      </c>
      <c r="H103">
        <v>0</v>
      </c>
      <c r="I103">
        <v>0</v>
      </c>
      <c r="J103" s="79">
        <v>17834581194</v>
      </c>
    </row>
    <row r="104" spans="2:10" hidden="1">
      <c r="B104" t="s">
        <v>115</v>
      </c>
      <c r="C104">
        <v>2105100082</v>
      </c>
      <c r="D104" t="s">
        <v>292</v>
      </c>
      <c r="E104" t="s">
        <v>204</v>
      </c>
      <c r="F104" s="79">
        <v>-19413316834</v>
      </c>
      <c r="G104" s="79">
        <v>1578735640</v>
      </c>
      <c r="H104">
        <v>0</v>
      </c>
      <c r="I104">
        <v>0</v>
      </c>
      <c r="J104" s="79">
        <v>-17834581194</v>
      </c>
    </row>
    <row r="105" spans="2:10" hidden="1">
      <c r="B105" t="s">
        <v>115</v>
      </c>
      <c r="C105">
        <v>2105100083</v>
      </c>
      <c r="D105" t="s">
        <v>293</v>
      </c>
      <c r="E105" t="s">
        <v>204</v>
      </c>
      <c r="F105" s="79">
        <v>-25059835</v>
      </c>
      <c r="G105" s="79">
        <v>59939100</v>
      </c>
      <c r="H105">
        <v>0</v>
      </c>
      <c r="I105">
        <v>0</v>
      </c>
      <c r="J105" s="79">
        <v>34879265</v>
      </c>
    </row>
    <row r="106" spans="2:10" hidden="1">
      <c r="B106" t="s">
        <v>115</v>
      </c>
      <c r="C106">
        <v>2105100098</v>
      </c>
      <c r="D106" t="s">
        <v>290</v>
      </c>
      <c r="E106" t="s">
        <v>204</v>
      </c>
      <c r="F106" s="79">
        <v>3109681120</v>
      </c>
      <c r="G106" s="79">
        <v>1578735640</v>
      </c>
      <c r="H106" s="79">
        <v>1553152760</v>
      </c>
      <c r="I106" s="79">
        <v>4688416760</v>
      </c>
      <c r="J106" s="79">
        <v>1553152760</v>
      </c>
    </row>
    <row r="107" spans="2:10" hidden="1">
      <c r="B107" t="s">
        <v>115</v>
      </c>
      <c r="C107">
        <v>2205010001</v>
      </c>
      <c r="D107" t="s">
        <v>294</v>
      </c>
      <c r="E107" t="s">
        <v>204</v>
      </c>
      <c r="F107" s="79">
        <v>-402899476</v>
      </c>
      <c r="G107" s="79">
        <v>-372238559</v>
      </c>
      <c r="H107" s="79">
        <v>835444818</v>
      </c>
      <c r="I107" s="79">
        <v>379914277</v>
      </c>
      <c r="J107" s="79">
        <v>-319607494</v>
      </c>
    </row>
    <row r="108" spans="2:10" hidden="1">
      <c r="B108" t="s">
        <v>115</v>
      </c>
      <c r="C108">
        <v>2305200001</v>
      </c>
      <c r="D108" t="s">
        <v>295</v>
      </c>
      <c r="E108" t="s">
        <v>204</v>
      </c>
      <c r="F108" s="79">
        <v>-1070138822</v>
      </c>
      <c r="G108" s="79">
        <v>994380214</v>
      </c>
      <c r="H108" s="79">
        <v>75391053</v>
      </c>
      <c r="I108" s="79">
        <v>254459434</v>
      </c>
      <c r="J108" s="79">
        <v>-254826989</v>
      </c>
    </row>
    <row r="109" spans="2:10" hidden="1">
      <c r="B109" t="s">
        <v>115</v>
      </c>
      <c r="C109">
        <v>2305200081</v>
      </c>
      <c r="D109" t="s">
        <v>295</v>
      </c>
      <c r="E109" t="s">
        <v>204</v>
      </c>
      <c r="F109" s="79">
        <v>1070138822</v>
      </c>
      <c r="G109" s="79">
        <v>-994380214</v>
      </c>
      <c r="H109">
        <v>0</v>
      </c>
      <c r="I109">
        <v>0</v>
      </c>
      <c r="J109" s="79">
        <v>75758608</v>
      </c>
    </row>
    <row r="110" spans="2:10" hidden="1">
      <c r="B110" t="s">
        <v>115</v>
      </c>
      <c r="C110">
        <v>2305200082</v>
      </c>
      <c r="D110" t="s">
        <v>295</v>
      </c>
      <c r="E110" t="s">
        <v>204</v>
      </c>
      <c r="F110" s="79">
        <v>-1070138822</v>
      </c>
      <c r="G110" s="79">
        <v>994380214</v>
      </c>
      <c r="H110">
        <v>0</v>
      </c>
      <c r="I110">
        <v>0</v>
      </c>
      <c r="J110" s="79">
        <v>-75758608</v>
      </c>
    </row>
    <row r="111" spans="2:10" hidden="1">
      <c r="B111" t="s">
        <v>115</v>
      </c>
      <c r="C111">
        <v>2335250001</v>
      </c>
      <c r="D111" t="s">
        <v>296</v>
      </c>
      <c r="E111" t="s">
        <v>204</v>
      </c>
      <c r="F111" s="79">
        <v>-289583771</v>
      </c>
      <c r="G111" s="79">
        <v>170378500</v>
      </c>
      <c r="H111" s="79">
        <v>119205271</v>
      </c>
      <c r="I111" s="79">
        <v>59602635</v>
      </c>
      <c r="J111" s="79">
        <v>-59602635</v>
      </c>
    </row>
    <row r="112" spans="2:10" hidden="1">
      <c r="B112" t="s">
        <v>115</v>
      </c>
      <c r="C112">
        <v>2335450001</v>
      </c>
      <c r="D112" t="s">
        <v>297</v>
      </c>
      <c r="E112" t="s">
        <v>204</v>
      </c>
      <c r="F112">
        <v>0</v>
      </c>
      <c r="G112">
        <v>0</v>
      </c>
      <c r="H112">
        <v>0</v>
      </c>
      <c r="I112" s="79">
        <v>428760</v>
      </c>
      <c r="J112" s="79">
        <v>-428760</v>
      </c>
    </row>
    <row r="113" spans="2:10" hidden="1">
      <c r="B113" t="s">
        <v>115</v>
      </c>
      <c r="C113">
        <v>2335500001</v>
      </c>
      <c r="D113" t="s">
        <v>298</v>
      </c>
      <c r="E113" t="s">
        <v>204</v>
      </c>
      <c r="F113" s="79">
        <v>-95300978</v>
      </c>
      <c r="G113" s="79">
        <v>95059890</v>
      </c>
      <c r="H113" s="79">
        <v>291352495</v>
      </c>
      <c r="I113" s="79">
        <v>291336422</v>
      </c>
      <c r="J113" s="79">
        <v>-225015</v>
      </c>
    </row>
    <row r="114" spans="2:10" hidden="1">
      <c r="B114" t="s">
        <v>115</v>
      </c>
      <c r="C114">
        <v>2335950001</v>
      </c>
      <c r="D114" t="s">
        <v>299</v>
      </c>
      <c r="E114" t="s">
        <v>204</v>
      </c>
      <c r="F114" s="79">
        <v>-1051582467</v>
      </c>
      <c r="G114" s="79">
        <v>384259250</v>
      </c>
      <c r="H114" s="79">
        <v>1043931161</v>
      </c>
      <c r="I114" s="79">
        <v>376370743</v>
      </c>
      <c r="J114" s="79">
        <v>237201</v>
      </c>
    </row>
    <row r="115" spans="2:10" hidden="1">
      <c r="B115" t="s">
        <v>115</v>
      </c>
      <c r="C115">
        <v>2335950098</v>
      </c>
      <c r="D115" t="s">
        <v>299</v>
      </c>
      <c r="E115" t="s">
        <v>204</v>
      </c>
      <c r="F115" s="79">
        <v>1507200</v>
      </c>
      <c r="G115" s="79">
        <v>-1507200</v>
      </c>
      <c r="H115">
        <v>0</v>
      </c>
      <c r="I115">
        <v>0</v>
      </c>
      <c r="J115">
        <v>0</v>
      </c>
    </row>
    <row r="116" spans="2:10" hidden="1">
      <c r="B116" t="s">
        <v>115</v>
      </c>
      <c r="C116">
        <v>2365050001</v>
      </c>
      <c r="D116" t="s">
        <v>300</v>
      </c>
      <c r="E116" t="s">
        <v>204</v>
      </c>
      <c r="F116" s="79">
        <v>-631958500</v>
      </c>
      <c r="G116" s="79">
        <v>-17510000</v>
      </c>
      <c r="H116">
        <v>0</v>
      </c>
      <c r="I116" s="79">
        <v>2244000</v>
      </c>
      <c r="J116" s="79">
        <v>-651712500</v>
      </c>
    </row>
    <row r="117" spans="2:10" hidden="1">
      <c r="B117" t="s">
        <v>115</v>
      </c>
      <c r="C117">
        <v>2365150001</v>
      </c>
      <c r="D117" t="s">
        <v>301</v>
      </c>
      <c r="E117" t="s">
        <v>204</v>
      </c>
      <c r="F117" s="79">
        <v>-1247792374</v>
      </c>
      <c r="G117" s="79">
        <v>-52023365</v>
      </c>
      <c r="H117">
        <v>0</v>
      </c>
      <c r="I117" s="79">
        <v>7026357</v>
      </c>
      <c r="J117" s="79">
        <v>-1306842096</v>
      </c>
    </row>
    <row r="118" spans="2:10" hidden="1">
      <c r="B118" t="s">
        <v>115</v>
      </c>
      <c r="C118">
        <v>2365200001</v>
      </c>
      <c r="D118" t="s">
        <v>302</v>
      </c>
      <c r="E118" t="s">
        <v>204</v>
      </c>
      <c r="F118" s="79">
        <v>-1284180</v>
      </c>
      <c r="G118">
        <v>0</v>
      </c>
      <c r="H118">
        <v>0</v>
      </c>
      <c r="I118">
        <v>0</v>
      </c>
      <c r="J118" s="79">
        <v>-1284180</v>
      </c>
    </row>
    <row r="119" spans="2:10" hidden="1">
      <c r="B119" t="s">
        <v>115</v>
      </c>
      <c r="C119">
        <v>2365250005</v>
      </c>
      <c r="D119" t="s">
        <v>303</v>
      </c>
      <c r="E119" t="s">
        <v>204</v>
      </c>
      <c r="F119" s="79">
        <v>-339112260</v>
      </c>
      <c r="G119" s="79">
        <v>-33030742</v>
      </c>
      <c r="H119" s="79">
        <v>25600</v>
      </c>
      <c r="I119" s="79">
        <v>2186448</v>
      </c>
      <c r="J119" s="79">
        <v>-374303850</v>
      </c>
    </row>
    <row r="120" spans="2:10" hidden="1">
      <c r="B120" t="s">
        <v>115</v>
      </c>
      <c r="C120">
        <v>2365250010</v>
      </c>
      <c r="D120" t="s">
        <v>304</v>
      </c>
      <c r="E120" t="s">
        <v>204</v>
      </c>
      <c r="F120" s="79">
        <v>-9344522</v>
      </c>
      <c r="G120" s="79">
        <v>-598660</v>
      </c>
      <c r="H120">
        <v>0</v>
      </c>
      <c r="I120" s="79">
        <v>109130</v>
      </c>
      <c r="J120" s="79">
        <v>-10052312</v>
      </c>
    </row>
    <row r="121" spans="2:10" hidden="1">
      <c r="B121" t="s">
        <v>115</v>
      </c>
      <c r="C121">
        <v>2365250020</v>
      </c>
      <c r="D121" t="s">
        <v>305</v>
      </c>
      <c r="E121" t="s">
        <v>204</v>
      </c>
      <c r="F121" s="79">
        <v>-3344717</v>
      </c>
      <c r="G121">
        <v>0</v>
      </c>
      <c r="H121">
        <v>0</v>
      </c>
      <c r="I121">
        <v>0</v>
      </c>
      <c r="J121" s="79">
        <v>-3344717</v>
      </c>
    </row>
    <row r="122" spans="2:10" hidden="1">
      <c r="B122" t="s">
        <v>115</v>
      </c>
      <c r="C122">
        <v>2365250030</v>
      </c>
      <c r="D122" t="s">
        <v>306</v>
      </c>
      <c r="E122" t="s">
        <v>204</v>
      </c>
      <c r="F122" s="79">
        <v>-7102203</v>
      </c>
      <c r="G122">
        <v>0</v>
      </c>
      <c r="H122">
        <v>0</v>
      </c>
      <c r="I122">
        <v>0</v>
      </c>
      <c r="J122" s="79">
        <v>-7102203</v>
      </c>
    </row>
    <row r="123" spans="2:10" hidden="1">
      <c r="B123" t="s">
        <v>115</v>
      </c>
      <c r="C123">
        <v>2365250035</v>
      </c>
      <c r="D123" t="s">
        <v>307</v>
      </c>
      <c r="E123" t="s">
        <v>204</v>
      </c>
      <c r="F123" s="79">
        <v>-994000</v>
      </c>
      <c r="G123">
        <v>0</v>
      </c>
      <c r="H123">
        <v>0</v>
      </c>
      <c r="I123">
        <v>0</v>
      </c>
      <c r="J123" s="79">
        <v>-994000</v>
      </c>
    </row>
    <row r="124" spans="2:10" hidden="1">
      <c r="B124" t="s">
        <v>115</v>
      </c>
      <c r="C124">
        <v>2365250045</v>
      </c>
      <c r="D124" t="s">
        <v>308</v>
      </c>
      <c r="E124" t="s">
        <v>204</v>
      </c>
      <c r="F124" s="79">
        <v>-29713663</v>
      </c>
      <c r="G124" s="79">
        <v>-1570531</v>
      </c>
      <c r="H124">
        <v>0</v>
      </c>
      <c r="I124">
        <v>0</v>
      </c>
      <c r="J124" s="79">
        <v>-31284194</v>
      </c>
    </row>
    <row r="125" spans="2:10" hidden="1">
      <c r="B125" t="s">
        <v>115</v>
      </c>
      <c r="C125">
        <v>2365250050</v>
      </c>
      <c r="D125" t="s">
        <v>305</v>
      </c>
      <c r="E125" t="s">
        <v>204</v>
      </c>
      <c r="F125" s="79">
        <v>-30253370</v>
      </c>
      <c r="G125" s="79">
        <v>-2481663</v>
      </c>
      <c r="H125">
        <v>0</v>
      </c>
      <c r="I125" s="79">
        <v>282771</v>
      </c>
      <c r="J125" s="79">
        <v>-33017804</v>
      </c>
    </row>
    <row r="126" spans="2:10" hidden="1">
      <c r="B126" t="s">
        <v>115</v>
      </c>
      <c r="C126">
        <v>2365250060</v>
      </c>
      <c r="D126" t="s">
        <v>309</v>
      </c>
      <c r="E126" t="s">
        <v>204</v>
      </c>
      <c r="F126" s="79">
        <v>-8270420</v>
      </c>
      <c r="G126" s="79">
        <v>-846443</v>
      </c>
      <c r="H126">
        <v>0</v>
      </c>
      <c r="I126">
        <v>0</v>
      </c>
      <c r="J126" s="79">
        <v>-9116863</v>
      </c>
    </row>
    <row r="127" spans="2:10" hidden="1">
      <c r="B127" t="s">
        <v>115</v>
      </c>
      <c r="C127">
        <v>2365250065</v>
      </c>
      <c r="D127" t="s">
        <v>310</v>
      </c>
      <c r="E127" t="s">
        <v>204</v>
      </c>
      <c r="F127" s="79">
        <v>-1003917</v>
      </c>
      <c r="G127" s="79">
        <v>-187206</v>
      </c>
      <c r="H127" s="79">
        <v>31220</v>
      </c>
      <c r="I127" s="79">
        <v>59765</v>
      </c>
      <c r="J127" s="79">
        <v>-1219668</v>
      </c>
    </row>
    <row r="128" spans="2:10" hidden="1">
      <c r="B128" t="s">
        <v>115</v>
      </c>
      <c r="C128">
        <v>2365300005</v>
      </c>
      <c r="D128" t="s">
        <v>311</v>
      </c>
      <c r="E128" t="s">
        <v>204</v>
      </c>
      <c r="F128" s="79">
        <v>-743105412</v>
      </c>
      <c r="G128" s="79">
        <v>-45182541</v>
      </c>
      <c r="H128">
        <v>0</v>
      </c>
      <c r="I128" s="79">
        <v>6567719</v>
      </c>
      <c r="J128" s="79">
        <v>-794855672</v>
      </c>
    </row>
    <row r="129" spans="2:10" hidden="1">
      <c r="B129" t="s">
        <v>115</v>
      </c>
      <c r="C129">
        <v>2365300010</v>
      </c>
      <c r="D129" t="s">
        <v>312</v>
      </c>
      <c r="E129" t="s">
        <v>204</v>
      </c>
      <c r="F129" s="79">
        <v>-8024709</v>
      </c>
      <c r="G129" s="79">
        <v>-209463</v>
      </c>
      <c r="H129">
        <v>0</v>
      </c>
      <c r="I129" s="79">
        <v>136000</v>
      </c>
      <c r="J129" s="79">
        <v>-8370172</v>
      </c>
    </row>
    <row r="130" spans="2:10" hidden="1">
      <c r="B130" t="s">
        <v>115</v>
      </c>
      <c r="C130">
        <v>2365300015</v>
      </c>
      <c r="D130" t="s">
        <v>313</v>
      </c>
      <c r="E130" t="s">
        <v>204</v>
      </c>
      <c r="F130" s="79">
        <v>-20511</v>
      </c>
      <c r="G130">
        <v>0</v>
      </c>
      <c r="H130">
        <v>0</v>
      </c>
      <c r="I130">
        <v>0</v>
      </c>
      <c r="J130" s="79">
        <v>-20511</v>
      </c>
    </row>
    <row r="131" spans="2:10" hidden="1">
      <c r="B131" t="s">
        <v>115</v>
      </c>
      <c r="C131">
        <v>2365300020</v>
      </c>
      <c r="D131" t="s">
        <v>314</v>
      </c>
      <c r="E131" t="s">
        <v>204</v>
      </c>
      <c r="F131" s="79">
        <v>-36641235</v>
      </c>
      <c r="G131">
        <v>0</v>
      </c>
      <c r="H131">
        <v>0</v>
      </c>
      <c r="I131">
        <v>0</v>
      </c>
      <c r="J131" s="79">
        <v>-36641235</v>
      </c>
    </row>
    <row r="132" spans="2:10" hidden="1">
      <c r="B132" t="s">
        <v>115</v>
      </c>
      <c r="C132">
        <v>2365350001</v>
      </c>
      <c r="D132" t="s">
        <v>315</v>
      </c>
      <c r="E132" t="s">
        <v>204</v>
      </c>
      <c r="F132" s="79">
        <v>-3011835</v>
      </c>
      <c r="G132">
        <v>0</v>
      </c>
      <c r="H132">
        <v>0</v>
      </c>
      <c r="I132">
        <v>0</v>
      </c>
      <c r="J132" s="79">
        <v>-3011835</v>
      </c>
    </row>
    <row r="133" spans="2:10" hidden="1">
      <c r="B133" t="s">
        <v>115</v>
      </c>
      <c r="C133">
        <v>2365350006</v>
      </c>
      <c r="D133" t="s">
        <v>316</v>
      </c>
      <c r="E133" t="s">
        <v>204</v>
      </c>
      <c r="F133" s="79">
        <v>-68886517</v>
      </c>
      <c r="G133">
        <v>0</v>
      </c>
      <c r="H133">
        <v>0</v>
      </c>
      <c r="I133">
        <v>0</v>
      </c>
      <c r="J133" s="79">
        <v>-68886517</v>
      </c>
    </row>
    <row r="134" spans="2:10" hidden="1">
      <c r="B134" t="s">
        <v>115</v>
      </c>
      <c r="C134">
        <v>2365400005</v>
      </c>
      <c r="D134" t="s">
        <v>317</v>
      </c>
      <c r="E134" t="s">
        <v>204</v>
      </c>
      <c r="F134" s="79">
        <v>-51492675</v>
      </c>
      <c r="G134">
        <v>0</v>
      </c>
      <c r="H134">
        <v>0</v>
      </c>
      <c r="I134">
        <v>0</v>
      </c>
      <c r="J134" s="79">
        <v>-51492675</v>
      </c>
    </row>
    <row r="135" spans="2:10" hidden="1">
      <c r="B135" t="s">
        <v>115</v>
      </c>
      <c r="C135">
        <v>2365400010</v>
      </c>
      <c r="D135" t="s">
        <v>318</v>
      </c>
      <c r="E135" t="s">
        <v>204</v>
      </c>
      <c r="F135" s="79">
        <v>-21013</v>
      </c>
      <c r="G135">
        <v>0</v>
      </c>
      <c r="H135">
        <v>0</v>
      </c>
      <c r="I135">
        <v>0</v>
      </c>
      <c r="J135" s="79">
        <v>-21013</v>
      </c>
    </row>
    <row r="136" spans="2:10" hidden="1">
      <c r="B136" t="s">
        <v>115</v>
      </c>
      <c r="C136">
        <v>2365400015</v>
      </c>
      <c r="D136" t="s">
        <v>319</v>
      </c>
      <c r="E136" t="s">
        <v>204</v>
      </c>
      <c r="F136" s="79">
        <v>-90000</v>
      </c>
      <c r="G136">
        <v>0</v>
      </c>
      <c r="H136">
        <v>0</v>
      </c>
      <c r="I136">
        <v>0</v>
      </c>
      <c r="J136" s="79">
        <v>-90000</v>
      </c>
    </row>
    <row r="137" spans="2:10" hidden="1">
      <c r="B137" t="s">
        <v>115</v>
      </c>
      <c r="C137">
        <v>2365400020</v>
      </c>
      <c r="D137" t="s">
        <v>320</v>
      </c>
      <c r="E137" t="s">
        <v>204</v>
      </c>
      <c r="F137" s="79">
        <v>-1707559</v>
      </c>
      <c r="G137">
        <v>0</v>
      </c>
      <c r="H137">
        <v>0</v>
      </c>
      <c r="I137">
        <v>0</v>
      </c>
      <c r="J137" s="79">
        <v>-1707559</v>
      </c>
    </row>
    <row r="138" spans="2:10" hidden="1">
      <c r="B138" t="s">
        <v>115</v>
      </c>
      <c r="C138">
        <v>2365400030</v>
      </c>
      <c r="D138" t="s">
        <v>321</v>
      </c>
      <c r="E138" t="s">
        <v>204</v>
      </c>
      <c r="F138" s="79">
        <v>-491505</v>
      </c>
      <c r="G138">
        <v>0</v>
      </c>
      <c r="H138">
        <v>0</v>
      </c>
      <c r="I138">
        <v>0</v>
      </c>
      <c r="J138" s="79">
        <v>-491505</v>
      </c>
    </row>
    <row r="139" spans="2:10" hidden="1">
      <c r="B139" t="s">
        <v>115</v>
      </c>
      <c r="C139">
        <v>2365400035</v>
      </c>
      <c r="D139" t="s">
        <v>322</v>
      </c>
      <c r="E139" t="s">
        <v>204</v>
      </c>
      <c r="F139" s="79">
        <v>-143374391</v>
      </c>
      <c r="G139" s="79">
        <v>-9113607</v>
      </c>
      <c r="H139" s="79">
        <v>24240</v>
      </c>
      <c r="I139" s="79">
        <v>426685</v>
      </c>
      <c r="J139" s="79">
        <v>-152890443</v>
      </c>
    </row>
    <row r="140" spans="2:10" hidden="1">
      <c r="B140" t="s">
        <v>115</v>
      </c>
      <c r="C140">
        <v>2365500002</v>
      </c>
      <c r="D140" t="s">
        <v>323</v>
      </c>
      <c r="E140" t="s">
        <v>204</v>
      </c>
      <c r="F140" s="79">
        <v>-1941503</v>
      </c>
      <c r="G140">
        <v>0</v>
      </c>
      <c r="H140">
        <v>0</v>
      </c>
      <c r="I140">
        <v>0</v>
      </c>
      <c r="J140" s="79">
        <v>-1941503</v>
      </c>
    </row>
    <row r="141" spans="2:10" hidden="1">
      <c r="B141" t="s">
        <v>115</v>
      </c>
      <c r="C141">
        <v>2365500003</v>
      </c>
      <c r="D141" t="s">
        <v>323</v>
      </c>
      <c r="E141" t="s">
        <v>204</v>
      </c>
      <c r="F141" s="79">
        <v>-10755231</v>
      </c>
      <c r="G141">
        <v>0</v>
      </c>
      <c r="H141">
        <v>0</v>
      </c>
      <c r="I141">
        <v>0</v>
      </c>
      <c r="J141" s="79">
        <v>-10755231</v>
      </c>
    </row>
    <row r="142" spans="2:10" hidden="1">
      <c r="B142" t="s">
        <v>115</v>
      </c>
      <c r="C142">
        <v>2365500004</v>
      </c>
      <c r="D142" t="s">
        <v>323</v>
      </c>
      <c r="E142" t="s">
        <v>204</v>
      </c>
      <c r="F142" s="79">
        <v>-5132346</v>
      </c>
      <c r="G142">
        <v>0</v>
      </c>
      <c r="H142">
        <v>0</v>
      </c>
      <c r="I142">
        <v>0</v>
      </c>
      <c r="J142" s="79">
        <v>-5132346</v>
      </c>
    </row>
    <row r="143" spans="2:10" hidden="1">
      <c r="B143" t="s">
        <v>115</v>
      </c>
      <c r="C143">
        <v>2365800005</v>
      </c>
      <c r="D143" t="s">
        <v>324</v>
      </c>
      <c r="E143" t="s">
        <v>204</v>
      </c>
      <c r="F143" s="79">
        <v>-5960000</v>
      </c>
      <c r="G143">
        <v>0</v>
      </c>
      <c r="H143">
        <v>0</v>
      </c>
      <c r="I143">
        <v>0</v>
      </c>
      <c r="J143" s="79">
        <v>-5960000</v>
      </c>
    </row>
    <row r="144" spans="2:10" hidden="1">
      <c r="B144" t="s">
        <v>115</v>
      </c>
      <c r="C144">
        <v>2365900001</v>
      </c>
      <c r="D144" t="s">
        <v>325</v>
      </c>
      <c r="E144" t="s">
        <v>204</v>
      </c>
      <c r="F144" s="79">
        <v>3390830568</v>
      </c>
      <c r="G144" s="79">
        <v>162754221</v>
      </c>
      <c r="H144">
        <v>0</v>
      </c>
      <c r="I144">
        <v>0</v>
      </c>
      <c r="J144" s="79">
        <v>3553584789</v>
      </c>
    </row>
    <row r="145" spans="2:10" hidden="1">
      <c r="B145" t="s">
        <v>115</v>
      </c>
      <c r="C145">
        <v>2366050001</v>
      </c>
      <c r="D145" t="s">
        <v>326</v>
      </c>
      <c r="E145" t="s">
        <v>204</v>
      </c>
      <c r="F145" s="79">
        <v>-147848</v>
      </c>
      <c r="G145">
        <v>0</v>
      </c>
      <c r="H145">
        <v>0</v>
      </c>
      <c r="I145">
        <v>0</v>
      </c>
      <c r="J145" s="79">
        <v>-147848</v>
      </c>
    </row>
    <row r="146" spans="2:10" hidden="1">
      <c r="B146" t="s">
        <v>115</v>
      </c>
      <c r="C146">
        <v>2366050002</v>
      </c>
      <c r="D146" t="s">
        <v>327</v>
      </c>
      <c r="E146" t="s">
        <v>204</v>
      </c>
      <c r="F146" s="79">
        <v>-45675696</v>
      </c>
      <c r="G146">
        <v>0</v>
      </c>
      <c r="H146">
        <v>0</v>
      </c>
      <c r="I146">
        <v>0</v>
      </c>
      <c r="J146" s="79">
        <v>-45675696</v>
      </c>
    </row>
    <row r="147" spans="2:10" hidden="1">
      <c r="B147" t="s">
        <v>115</v>
      </c>
      <c r="C147">
        <v>2366050003</v>
      </c>
      <c r="D147" t="s">
        <v>328</v>
      </c>
      <c r="E147" t="s">
        <v>204</v>
      </c>
      <c r="F147" s="79">
        <v>-1565533</v>
      </c>
      <c r="G147">
        <v>0</v>
      </c>
      <c r="H147">
        <v>0</v>
      </c>
      <c r="I147">
        <v>0</v>
      </c>
      <c r="J147" s="79">
        <v>-1565533</v>
      </c>
    </row>
    <row r="148" spans="2:10" hidden="1">
      <c r="B148" t="s">
        <v>115</v>
      </c>
      <c r="C148">
        <v>2366900001</v>
      </c>
      <c r="D148" t="s">
        <v>329</v>
      </c>
      <c r="E148" t="s">
        <v>204</v>
      </c>
      <c r="F148" s="79">
        <v>47389077</v>
      </c>
      <c r="G148">
        <v>0</v>
      </c>
      <c r="H148">
        <v>0</v>
      </c>
      <c r="I148">
        <v>0</v>
      </c>
      <c r="J148" s="79">
        <v>47389077</v>
      </c>
    </row>
    <row r="149" spans="2:10" hidden="1">
      <c r="B149" t="s">
        <v>115</v>
      </c>
      <c r="C149">
        <v>2367010005</v>
      </c>
      <c r="D149" t="s">
        <v>330</v>
      </c>
      <c r="E149" t="s">
        <v>204</v>
      </c>
      <c r="F149" s="79">
        <v>-495793279</v>
      </c>
      <c r="G149">
        <v>0</v>
      </c>
      <c r="H149">
        <v>0</v>
      </c>
      <c r="I149">
        <v>0</v>
      </c>
      <c r="J149" s="79">
        <v>-495793279</v>
      </c>
    </row>
    <row r="150" spans="2:10" hidden="1">
      <c r="B150" t="s">
        <v>115</v>
      </c>
      <c r="C150">
        <v>2367010010</v>
      </c>
      <c r="D150" t="s">
        <v>331</v>
      </c>
      <c r="E150" t="s">
        <v>204</v>
      </c>
      <c r="F150" s="79">
        <v>-94680675</v>
      </c>
      <c r="G150">
        <v>0</v>
      </c>
      <c r="H150">
        <v>0</v>
      </c>
      <c r="I150">
        <v>0</v>
      </c>
      <c r="J150" s="79">
        <v>-94680675</v>
      </c>
    </row>
    <row r="151" spans="2:10" hidden="1">
      <c r="B151" t="s">
        <v>115</v>
      </c>
      <c r="C151">
        <v>2367200001</v>
      </c>
      <c r="D151" t="s">
        <v>332</v>
      </c>
      <c r="E151" t="s">
        <v>204</v>
      </c>
      <c r="F151" s="79">
        <v>-3106404</v>
      </c>
      <c r="G151">
        <v>0</v>
      </c>
      <c r="H151">
        <v>0</v>
      </c>
      <c r="I151">
        <v>0</v>
      </c>
      <c r="J151" s="79">
        <v>-3106404</v>
      </c>
    </row>
    <row r="152" spans="2:10" hidden="1">
      <c r="B152" t="s">
        <v>115</v>
      </c>
      <c r="C152">
        <v>2367300005</v>
      </c>
      <c r="D152" t="s">
        <v>333</v>
      </c>
      <c r="E152" t="s">
        <v>204</v>
      </c>
      <c r="F152" s="79">
        <v>-1344637</v>
      </c>
      <c r="G152">
        <v>0</v>
      </c>
      <c r="H152">
        <v>0</v>
      </c>
      <c r="I152">
        <v>0</v>
      </c>
      <c r="J152" s="79">
        <v>-1344637</v>
      </c>
    </row>
    <row r="153" spans="2:10" hidden="1">
      <c r="B153" t="s">
        <v>115</v>
      </c>
      <c r="C153">
        <v>2367300010</v>
      </c>
      <c r="D153" t="s">
        <v>334</v>
      </c>
      <c r="E153" t="s">
        <v>204</v>
      </c>
      <c r="F153" s="79">
        <v>-33704793</v>
      </c>
      <c r="G153">
        <v>0</v>
      </c>
      <c r="H153">
        <v>0</v>
      </c>
      <c r="I153">
        <v>0</v>
      </c>
      <c r="J153" s="79">
        <v>-33704793</v>
      </c>
    </row>
    <row r="154" spans="2:10" hidden="1">
      <c r="B154" t="s">
        <v>115</v>
      </c>
      <c r="C154">
        <v>2367900001</v>
      </c>
      <c r="D154" t="s">
        <v>335</v>
      </c>
      <c r="E154" t="s">
        <v>204</v>
      </c>
      <c r="F154" s="79">
        <v>628629788</v>
      </c>
      <c r="G154">
        <v>0</v>
      </c>
      <c r="H154">
        <v>0</v>
      </c>
      <c r="I154">
        <v>0</v>
      </c>
      <c r="J154" s="79">
        <v>628629788</v>
      </c>
    </row>
    <row r="155" spans="2:10">
      <c r="B155" t="s">
        <v>115</v>
      </c>
      <c r="C155">
        <v>2368010002</v>
      </c>
      <c r="D155" t="s">
        <v>336</v>
      </c>
      <c r="E155" t="s">
        <v>204</v>
      </c>
      <c r="F155" s="79">
        <v>-143980</v>
      </c>
      <c r="G155">
        <v>0</v>
      </c>
      <c r="H155">
        <v>0</v>
      </c>
      <c r="I155">
        <v>0</v>
      </c>
      <c r="J155" s="79">
        <v>-143980</v>
      </c>
    </row>
    <row r="156" spans="2:10">
      <c r="B156" t="s">
        <v>115</v>
      </c>
      <c r="C156">
        <v>2368010005</v>
      </c>
      <c r="D156" t="s">
        <v>337</v>
      </c>
      <c r="E156" t="s">
        <v>204</v>
      </c>
      <c r="F156" s="79">
        <v>-2816170</v>
      </c>
      <c r="G156" s="79">
        <v>-63341</v>
      </c>
      <c r="H156">
        <v>0</v>
      </c>
      <c r="I156">
        <v>0</v>
      </c>
      <c r="J156" s="79">
        <v>-2879511</v>
      </c>
    </row>
    <row r="157" spans="2:10">
      <c r="B157" t="s">
        <v>115</v>
      </c>
      <c r="C157">
        <v>2368010007</v>
      </c>
      <c r="D157" t="s">
        <v>109</v>
      </c>
      <c r="E157" t="s">
        <v>204</v>
      </c>
      <c r="F157" s="79">
        <v>-3096379</v>
      </c>
      <c r="G157" s="79">
        <v>-110134</v>
      </c>
      <c r="H157">
        <v>0</v>
      </c>
      <c r="I157" s="79">
        <v>36318</v>
      </c>
      <c r="J157" s="79">
        <v>-3242831</v>
      </c>
    </row>
    <row r="158" spans="2:10">
      <c r="B158" t="s">
        <v>115</v>
      </c>
      <c r="C158">
        <v>2368010008</v>
      </c>
      <c r="D158" t="s">
        <v>338</v>
      </c>
      <c r="E158" t="s">
        <v>204</v>
      </c>
      <c r="F158" s="79">
        <v>-144000</v>
      </c>
      <c r="G158">
        <v>0</v>
      </c>
      <c r="H158">
        <v>0</v>
      </c>
      <c r="I158">
        <v>0</v>
      </c>
      <c r="J158" s="79">
        <v>-144000</v>
      </c>
    </row>
    <row r="159" spans="2:10">
      <c r="B159" t="s">
        <v>115</v>
      </c>
      <c r="C159">
        <v>2368010010</v>
      </c>
      <c r="D159" t="s">
        <v>121</v>
      </c>
      <c r="E159" t="s">
        <v>204</v>
      </c>
      <c r="F159" s="79">
        <v>-28332909</v>
      </c>
      <c r="G159" s="79">
        <v>-3881010</v>
      </c>
      <c r="H159">
        <v>0</v>
      </c>
      <c r="I159" s="79">
        <v>438243</v>
      </c>
      <c r="J159" s="79">
        <v>-32652162</v>
      </c>
    </row>
    <row r="160" spans="2:10">
      <c r="B160" t="s">
        <v>115</v>
      </c>
      <c r="C160">
        <v>2368010090</v>
      </c>
      <c r="D160" t="s">
        <v>339</v>
      </c>
      <c r="E160" t="s">
        <v>204</v>
      </c>
      <c r="F160" s="79">
        <v>34533438</v>
      </c>
      <c r="G160" s="79">
        <v>4054485</v>
      </c>
      <c r="H160">
        <v>0</v>
      </c>
      <c r="I160">
        <v>0</v>
      </c>
      <c r="J160" s="79">
        <v>38587923</v>
      </c>
    </row>
    <row r="161" spans="2:10" hidden="1">
      <c r="B161" t="s">
        <v>115</v>
      </c>
      <c r="C161">
        <v>2370050001</v>
      </c>
      <c r="D161" t="s">
        <v>340</v>
      </c>
      <c r="E161" t="s">
        <v>204</v>
      </c>
      <c r="F161" s="79">
        <v>-14891796</v>
      </c>
      <c r="G161" s="79">
        <v>2603896</v>
      </c>
      <c r="H161" s="79">
        <v>21498200</v>
      </c>
      <c r="I161" s="79">
        <v>19414500</v>
      </c>
      <c r="J161" s="79">
        <v>-10204200</v>
      </c>
    </row>
    <row r="162" spans="2:10" hidden="1">
      <c r="B162" t="s">
        <v>115</v>
      </c>
      <c r="C162">
        <v>2370050005</v>
      </c>
      <c r="D162" t="s">
        <v>340</v>
      </c>
      <c r="E162" t="s">
        <v>204</v>
      </c>
      <c r="F162" s="79">
        <v>58794</v>
      </c>
      <c r="G162" s="79">
        <v>99878</v>
      </c>
      <c r="H162">
        <v>0</v>
      </c>
      <c r="I162" s="79">
        <v>98140</v>
      </c>
      <c r="J162" s="79">
        <v>60532</v>
      </c>
    </row>
    <row r="163" spans="2:10" hidden="1">
      <c r="B163" t="s">
        <v>115</v>
      </c>
      <c r="C163">
        <v>2370060001</v>
      </c>
      <c r="D163" t="s">
        <v>341</v>
      </c>
      <c r="E163" t="s">
        <v>204</v>
      </c>
      <c r="F163" s="79">
        <v>-2169555</v>
      </c>
      <c r="G163" s="79">
        <v>-8488345</v>
      </c>
      <c r="H163" s="79">
        <v>21315800</v>
      </c>
      <c r="I163" s="79">
        <v>22636600</v>
      </c>
      <c r="J163" s="79">
        <v>-11978700</v>
      </c>
    </row>
    <row r="164" spans="2:10" hidden="1">
      <c r="B164" t="s">
        <v>115</v>
      </c>
      <c r="C164">
        <v>2370100001</v>
      </c>
      <c r="D164" t="s">
        <v>342</v>
      </c>
      <c r="E164" t="s">
        <v>204</v>
      </c>
      <c r="F164" s="79">
        <v>-12697100</v>
      </c>
      <c r="G164" s="79">
        <v>3599600</v>
      </c>
      <c r="H164" s="79">
        <v>18100100</v>
      </c>
      <c r="I164" s="79">
        <v>18584100</v>
      </c>
      <c r="J164" s="79">
        <v>-9581500</v>
      </c>
    </row>
    <row r="165" spans="2:10" hidden="1">
      <c r="B165" t="s">
        <v>115</v>
      </c>
      <c r="C165">
        <v>2370250001</v>
      </c>
      <c r="D165" t="s">
        <v>343</v>
      </c>
      <c r="E165" t="s">
        <v>204</v>
      </c>
      <c r="F165" s="79">
        <v>-1379981</v>
      </c>
      <c r="G165" s="79">
        <v>-26763</v>
      </c>
      <c r="H165" s="79">
        <v>1406744</v>
      </c>
      <c r="I165" s="79">
        <v>842211</v>
      </c>
      <c r="J165" s="79">
        <v>-842211</v>
      </c>
    </row>
    <row r="166" spans="2:10" hidden="1">
      <c r="B166" t="s">
        <v>115</v>
      </c>
      <c r="C166">
        <v>2370450001</v>
      </c>
      <c r="D166" t="s">
        <v>344</v>
      </c>
      <c r="E166" t="s">
        <v>204</v>
      </c>
      <c r="F166" s="79">
        <v>-8699107</v>
      </c>
      <c r="G166" s="79">
        <v>-9509</v>
      </c>
      <c r="H166" s="79">
        <v>8708616</v>
      </c>
      <c r="I166" s="79">
        <v>8139305</v>
      </c>
      <c r="J166" s="79">
        <v>-8139305</v>
      </c>
    </row>
    <row r="167" spans="2:10" hidden="1">
      <c r="B167" t="s">
        <v>115</v>
      </c>
      <c r="C167">
        <v>2380300001</v>
      </c>
      <c r="D167" t="s">
        <v>345</v>
      </c>
      <c r="E167" t="s">
        <v>204</v>
      </c>
      <c r="F167" s="79">
        <v>-41950700</v>
      </c>
      <c r="G167" s="79">
        <v>2524400</v>
      </c>
      <c r="H167" s="79">
        <v>86230300</v>
      </c>
      <c r="I167" s="79">
        <v>85825300</v>
      </c>
      <c r="J167" s="79">
        <v>-39021300</v>
      </c>
    </row>
    <row r="168" spans="2:10" hidden="1">
      <c r="B168" t="s">
        <v>115</v>
      </c>
      <c r="C168">
        <v>2408010504</v>
      </c>
      <c r="D168" t="s">
        <v>346</v>
      </c>
      <c r="E168" t="s">
        <v>204</v>
      </c>
      <c r="F168" s="79">
        <v>-204645501</v>
      </c>
      <c r="G168" s="79">
        <v>-447630</v>
      </c>
      <c r="H168">
        <v>0</v>
      </c>
      <c r="I168" s="79">
        <v>210260</v>
      </c>
      <c r="J168" s="79">
        <v>-205303391</v>
      </c>
    </row>
    <row r="169" spans="2:10" hidden="1">
      <c r="B169" t="s">
        <v>115</v>
      </c>
      <c r="C169">
        <v>2408011001</v>
      </c>
      <c r="D169" t="s">
        <v>347</v>
      </c>
      <c r="E169" t="s">
        <v>204</v>
      </c>
      <c r="F169" s="79">
        <v>-15570128406</v>
      </c>
      <c r="G169">
        <v>0</v>
      </c>
      <c r="H169">
        <v>0</v>
      </c>
      <c r="I169">
        <v>0</v>
      </c>
      <c r="J169" s="79">
        <v>-15570128406</v>
      </c>
    </row>
    <row r="170" spans="2:10" hidden="1">
      <c r="B170" t="s">
        <v>115</v>
      </c>
      <c r="C170">
        <v>2408011005</v>
      </c>
      <c r="D170" t="s">
        <v>348</v>
      </c>
      <c r="E170" t="s">
        <v>204</v>
      </c>
      <c r="F170" s="79">
        <v>-31106872875</v>
      </c>
      <c r="G170" s="79">
        <v>-2396879191</v>
      </c>
      <c r="H170">
        <v>0</v>
      </c>
      <c r="I170" s="79">
        <v>462444434</v>
      </c>
      <c r="J170" s="79">
        <v>-33966196500</v>
      </c>
    </row>
    <row r="171" spans="2:10" hidden="1">
      <c r="B171" t="s">
        <v>115</v>
      </c>
      <c r="C171">
        <v>2408011501</v>
      </c>
      <c r="D171" t="s">
        <v>349</v>
      </c>
      <c r="E171" t="s">
        <v>204</v>
      </c>
      <c r="F171" s="79">
        <v>336493514</v>
      </c>
      <c r="G171" s="79">
        <v>5186998</v>
      </c>
      <c r="H171" s="79">
        <v>448970</v>
      </c>
      <c r="I171">
        <v>0</v>
      </c>
      <c r="J171" s="79">
        <v>342129482</v>
      </c>
    </row>
    <row r="172" spans="2:10" hidden="1">
      <c r="B172" t="s">
        <v>115</v>
      </c>
      <c r="C172">
        <v>2408011502</v>
      </c>
      <c r="D172" t="s">
        <v>350</v>
      </c>
      <c r="E172" t="s">
        <v>204</v>
      </c>
      <c r="F172" s="79">
        <v>3556041032</v>
      </c>
      <c r="G172" s="79">
        <v>246150648</v>
      </c>
      <c r="H172" s="79">
        <v>35653332</v>
      </c>
      <c r="I172">
        <v>0</v>
      </c>
      <c r="J172" s="79">
        <v>3837845012</v>
      </c>
    </row>
    <row r="173" spans="2:10" hidden="1">
      <c r="B173" t="s">
        <v>115</v>
      </c>
      <c r="C173">
        <v>2408011503</v>
      </c>
      <c r="D173" t="s">
        <v>351</v>
      </c>
      <c r="E173" t="s">
        <v>204</v>
      </c>
      <c r="F173" s="79">
        <v>3535683000</v>
      </c>
      <c r="G173">
        <v>0</v>
      </c>
      <c r="H173">
        <v>0</v>
      </c>
      <c r="I173">
        <v>0</v>
      </c>
      <c r="J173" s="79">
        <v>3535683000</v>
      </c>
    </row>
    <row r="174" spans="2:10" hidden="1">
      <c r="B174" t="s">
        <v>115</v>
      </c>
      <c r="C174">
        <v>2408011504</v>
      </c>
      <c r="D174" t="s">
        <v>352</v>
      </c>
      <c r="E174" t="s">
        <v>204</v>
      </c>
      <c r="F174" s="79">
        <v>3106404</v>
      </c>
      <c r="G174">
        <v>0</v>
      </c>
      <c r="H174">
        <v>0</v>
      </c>
      <c r="I174">
        <v>0</v>
      </c>
      <c r="J174" s="79">
        <v>3106404</v>
      </c>
    </row>
    <row r="175" spans="2:10" hidden="1">
      <c r="B175" t="s">
        <v>115</v>
      </c>
      <c r="C175">
        <v>2408013005</v>
      </c>
      <c r="D175" t="s">
        <v>353</v>
      </c>
      <c r="E175" t="s">
        <v>204</v>
      </c>
      <c r="F175" s="79">
        <v>47520</v>
      </c>
      <c r="G175">
        <v>0</v>
      </c>
      <c r="H175">
        <v>0</v>
      </c>
      <c r="I175">
        <v>0</v>
      </c>
      <c r="J175" s="79">
        <v>47520</v>
      </c>
    </row>
    <row r="176" spans="2:10" hidden="1">
      <c r="B176" t="s">
        <v>115</v>
      </c>
      <c r="C176">
        <v>2408013010</v>
      </c>
      <c r="D176" t="s">
        <v>354</v>
      </c>
      <c r="E176" t="s">
        <v>204</v>
      </c>
      <c r="F176" s="79">
        <v>8939566</v>
      </c>
      <c r="G176">
        <v>0</v>
      </c>
      <c r="H176">
        <v>0</v>
      </c>
      <c r="I176">
        <v>0</v>
      </c>
      <c r="J176" s="79">
        <v>8939566</v>
      </c>
    </row>
    <row r="177" spans="2:10" hidden="1">
      <c r="B177" t="s">
        <v>115</v>
      </c>
      <c r="C177">
        <v>2408900001</v>
      </c>
      <c r="D177" t="s">
        <v>355</v>
      </c>
      <c r="E177" t="s">
        <v>204</v>
      </c>
      <c r="F177" s="79">
        <v>39441335746</v>
      </c>
      <c r="G177" s="79">
        <v>2145989175</v>
      </c>
      <c r="H177">
        <v>0</v>
      </c>
      <c r="I177">
        <v>0</v>
      </c>
      <c r="J177" s="79">
        <v>41587324921</v>
      </c>
    </row>
    <row r="178" spans="2:10" hidden="1">
      <c r="B178" t="s">
        <v>115</v>
      </c>
      <c r="C178">
        <v>2412050001</v>
      </c>
      <c r="D178" t="s">
        <v>356</v>
      </c>
      <c r="E178" t="s">
        <v>204</v>
      </c>
      <c r="F178" s="79">
        <v>-204353000</v>
      </c>
      <c r="G178">
        <v>0</v>
      </c>
      <c r="H178">
        <v>0</v>
      </c>
      <c r="I178">
        <v>0</v>
      </c>
      <c r="J178" s="79">
        <v>-204353000</v>
      </c>
    </row>
    <row r="179" spans="2:10" hidden="1">
      <c r="B179" t="s">
        <v>115</v>
      </c>
      <c r="C179">
        <v>2505150001</v>
      </c>
      <c r="D179" t="s">
        <v>357</v>
      </c>
      <c r="E179" t="s">
        <v>204</v>
      </c>
      <c r="F179">
        <v>0</v>
      </c>
      <c r="G179">
        <v>0</v>
      </c>
      <c r="H179" s="79">
        <v>205208831</v>
      </c>
      <c r="I179" s="79">
        <v>205208831</v>
      </c>
      <c r="J179">
        <v>0</v>
      </c>
    </row>
    <row r="180" spans="2:10" hidden="1">
      <c r="B180" t="s">
        <v>115</v>
      </c>
      <c r="C180">
        <v>2510100001</v>
      </c>
      <c r="D180" t="s">
        <v>358</v>
      </c>
      <c r="E180" t="s">
        <v>204</v>
      </c>
      <c r="F180" s="79">
        <v>-187461183</v>
      </c>
      <c r="G180" s="79">
        <v>75477660</v>
      </c>
      <c r="H180">
        <v>0</v>
      </c>
      <c r="I180" s="79">
        <v>20481831</v>
      </c>
      <c r="J180" s="79">
        <v>-132465354</v>
      </c>
    </row>
    <row r="181" spans="2:10" hidden="1">
      <c r="B181" t="s">
        <v>115</v>
      </c>
      <c r="C181">
        <v>2515050001</v>
      </c>
      <c r="D181" t="s">
        <v>359</v>
      </c>
      <c r="E181" t="s">
        <v>204</v>
      </c>
      <c r="F181" s="79">
        <v>-21941452</v>
      </c>
      <c r="G181" s="79">
        <v>15323307</v>
      </c>
      <c r="H181">
        <v>0</v>
      </c>
      <c r="I181" s="79">
        <v>2491321</v>
      </c>
      <c r="J181" s="79">
        <v>-9109466</v>
      </c>
    </row>
    <row r="182" spans="2:10" hidden="1">
      <c r="B182" t="s">
        <v>115</v>
      </c>
      <c r="C182">
        <v>2520050001</v>
      </c>
      <c r="D182" t="s">
        <v>360</v>
      </c>
      <c r="E182" t="s">
        <v>204</v>
      </c>
      <c r="F182">
        <v>0</v>
      </c>
      <c r="G182">
        <v>0</v>
      </c>
      <c r="H182">
        <v>0</v>
      </c>
      <c r="I182" s="79">
        <v>18441358</v>
      </c>
      <c r="J182" s="79">
        <v>-18441358</v>
      </c>
    </row>
    <row r="183" spans="2:10" hidden="1">
      <c r="B183" t="s">
        <v>115</v>
      </c>
      <c r="C183">
        <v>2525050001</v>
      </c>
      <c r="D183" t="s">
        <v>361</v>
      </c>
      <c r="E183" t="s">
        <v>204</v>
      </c>
      <c r="F183" s="79">
        <v>-133091847</v>
      </c>
      <c r="G183" s="79">
        <v>-5133895</v>
      </c>
      <c r="H183">
        <v>0</v>
      </c>
      <c r="I183" s="79">
        <v>1082096</v>
      </c>
      <c r="J183" s="79">
        <v>-139307838</v>
      </c>
    </row>
    <row r="184" spans="2:10" hidden="1">
      <c r="B184" t="s">
        <v>115</v>
      </c>
      <c r="C184">
        <v>2605050001</v>
      </c>
      <c r="D184" t="s">
        <v>362</v>
      </c>
      <c r="E184" t="s">
        <v>204</v>
      </c>
      <c r="F184" s="79">
        <v>-9578995</v>
      </c>
      <c r="G184" s="79">
        <v>2422322</v>
      </c>
      <c r="H184">
        <v>0</v>
      </c>
      <c r="I184" s="79">
        <v>2385558</v>
      </c>
      <c r="J184" s="79">
        <v>-9542231</v>
      </c>
    </row>
    <row r="185" spans="2:10" hidden="1">
      <c r="B185" t="s">
        <v>115</v>
      </c>
      <c r="C185">
        <v>2605200001</v>
      </c>
      <c r="D185" t="s">
        <v>363</v>
      </c>
      <c r="E185" t="s">
        <v>204</v>
      </c>
      <c r="F185">
        <v>0</v>
      </c>
      <c r="G185" s="79">
        <v>-11542655</v>
      </c>
      <c r="H185">
        <v>0</v>
      </c>
      <c r="I185">
        <v>0</v>
      </c>
      <c r="J185" s="79">
        <v>-11542655</v>
      </c>
    </row>
    <row r="186" spans="2:10" hidden="1">
      <c r="B186" t="s">
        <v>115</v>
      </c>
      <c r="C186">
        <v>2605950001</v>
      </c>
      <c r="D186" t="s">
        <v>364</v>
      </c>
      <c r="E186" t="s">
        <v>204</v>
      </c>
      <c r="F186" s="79">
        <v>-55365151</v>
      </c>
      <c r="G186" s="79">
        <v>-18603037</v>
      </c>
      <c r="H186" s="79">
        <v>694403282</v>
      </c>
      <c r="I186" s="79">
        <v>714735287</v>
      </c>
      <c r="J186" s="79">
        <v>-94300193</v>
      </c>
    </row>
    <row r="187" spans="2:10" hidden="1">
      <c r="B187" t="s">
        <v>115</v>
      </c>
      <c r="C187">
        <v>2605950002</v>
      </c>
      <c r="D187" t="s">
        <v>365</v>
      </c>
      <c r="E187" t="s">
        <v>204</v>
      </c>
      <c r="F187" s="79">
        <v>-2875140</v>
      </c>
      <c r="G187" s="79">
        <v>1665575</v>
      </c>
      <c r="H187">
        <v>0</v>
      </c>
      <c r="I187" s="79">
        <v>78025</v>
      </c>
      <c r="J187" s="79">
        <v>-1287590</v>
      </c>
    </row>
    <row r="188" spans="2:10" hidden="1">
      <c r="B188" t="s">
        <v>115</v>
      </c>
      <c r="C188">
        <v>2615050000</v>
      </c>
      <c r="D188" t="s">
        <v>366</v>
      </c>
      <c r="E188" t="s">
        <v>204</v>
      </c>
      <c r="F188" s="79">
        <v>-1319391000</v>
      </c>
      <c r="G188" s="79">
        <v>147197351</v>
      </c>
      <c r="H188">
        <v>0</v>
      </c>
      <c r="I188">
        <v>0</v>
      </c>
      <c r="J188" s="79">
        <v>-1172193649</v>
      </c>
    </row>
    <row r="189" spans="2:10" hidden="1">
      <c r="B189" t="s">
        <v>115</v>
      </c>
      <c r="C189">
        <v>2615100001</v>
      </c>
      <c r="D189" t="s">
        <v>367</v>
      </c>
      <c r="E189" t="s">
        <v>204</v>
      </c>
      <c r="F189">
        <v>0</v>
      </c>
      <c r="G189" s="79">
        <v>-102177389</v>
      </c>
      <c r="H189">
        <v>0</v>
      </c>
      <c r="I189" s="79">
        <v>21988890</v>
      </c>
      <c r="J189" s="79">
        <v>-124166279</v>
      </c>
    </row>
    <row r="190" spans="2:10" hidden="1">
      <c r="B190" t="s">
        <v>115</v>
      </c>
      <c r="C190">
        <v>2725050001</v>
      </c>
      <c r="D190" t="s">
        <v>368</v>
      </c>
      <c r="E190" t="s">
        <v>204</v>
      </c>
      <c r="F190" s="79">
        <v>-5635376729</v>
      </c>
      <c r="G190" s="79">
        <v>-471035933</v>
      </c>
      <c r="H190">
        <v>0</v>
      </c>
      <c r="I190" s="79">
        <v>12207743</v>
      </c>
      <c r="J190" s="79">
        <v>-6118620405</v>
      </c>
    </row>
    <row r="191" spans="2:10" hidden="1">
      <c r="B191" t="s">
        <v>115</v>
      </c>
      <c r="C191">
        <v>2805050001</v>
      </c>
      <c r="D191" t="s">
        <v>369</v>
      </c>
      <c r="E191" t="s">
        <v>204</v>
      </c>
      <c r="F191" s="79">
        <v>-488842765</v>
      </c>
      <c r="G191" s="79">
        <v>-1462186679</v>
      </c>
      <c r="H191">
        <v>0</v>
      </c>
      <c r="I191" s="79">
        <v>400934690</v>
      </c>
      <c r="J191" s="79">
        <v>-2351964134</v>
      </c>
    </row>
    <row r="192" spans="2:10" hidden="1">
      <c r="B192" t="s">
        <v>115</v>
      </c>
      <c r="C192">
        <v>2895950010</v>
      </c>
      <c r="D192" t="s">
        <v>370</v>
      </c>
      <c r="E192" t="s">
        <v>204</v>
      </c>
      <c r="F192" s="79">
        <v>-1023406</v>
      </c>
      <c r="G192">
        <v>0</v>
      </c>
      <c r="H192">
        <v>0</v>
      </c>
      <c r="I192">
        <v>0</v>
      </c>
      <c r="J192" s="79">
        <v>-1023406</v>
      </c>
    </row>
    <row r="193" spans="2:10" hidden="1">
      <c r="B193" t="s">
        <v>115</v>
      </c>
      <c r="C193">
        <v>3105050001</v>
      </c>
      <c r="D193" t="s">
        <v>371</v>
      </c>
      <c r="E193" t="s">
        <v>204</v>
      </c>
      <c r="F193" s="79">
        <v>-2000000000</v>
      </c>
      <c r="G193">
        <v>0</v>
      </c>
      <c r="H193">
        <v>0</v>
      </c>
      <c r="I193">
        <v>0</v>
      </c>
      <c r="J193" s="79">
        <v>-2000000000</v>
      </c>
    </row>
    <row r="194" spans="2:10" hidden="1">
      <c r="B194" t="s">
        <v>115</v>
      </c>
      <c r="C194">
        <v>3105100001</v>
      </c>
      <c r="D194" t="s">
        <v>372</v>
      </c>
      <c r="E194" t="s">
        <v>204</v>
      </c>
      <c r="F194" s="79">
        <v>565916000</v>
      </c>
      <c r="G194">
        <v>0</v>
      </c>
      <c r="H194">
        <v>0</v>
      </c>
      <c r="I194">
        <v>0</v>
      </c>
      <c r="J194" s="79">
        <v>565916000</v>
      </c>
    </row>
    <row r="195" spans="2:10" hidden="1">
      <c r="B195" t="s">
        <v>115</v>
      </c>
      <c r="C195">
        <v>3205050001</v>
      </c>
      <c r="D195" t="s">
        <v>373</v>
      </c>
      <c r="E195" t="s">
        <v>204</v>
      </c>
      <c r="F195" s="79">
        <v>-35657716000</v>
      </c>
      <c r="G195">
        <v>0</v>
      </c>
      <c r="H195">
        <v>0</v>
      </c>
      <c r="I195">
        <v>0</v>
      </c>
      <c r="J195" s="79">
        <v>-35657716000</v>
      </c>
    </row>
    <row r="196" spans="2:10" hidden="1">
      <c r="B196" t="s">
        <v>115</v>
      </c>
      <c r="C196">
        <v>3305050001</v>
      </c>
      <c r="D196" t="s">
        <v>374</v>
      </c>
      <c r="E196" t="s">
        <v>204</v>
      </c>
      <c r="F196" s="79">
        <v>-734647337</v>
      </c>
      <c r="G196">
        <v>0</v>
      </c>
      <c r="H196">
        <v>0</v>
      </c>
      <c r="I196">
        <v>0</v>
      </c>
      <c r="J196" s="79">
        <v>-734647337</v>
      </c>
    </row>
    <row r="197" spans="2:10" hidden="1">
      <c r="B197" t="s">
        <v>115</v>
      </c>
      <c r="C197">
        <v>3605010001</v>
      </c>
      <c r="D197" t="s">
        <v>375</v>
      </c>
      <c r="E197" t="s">
        <v>204</v>
      </c>
      <c r="F197" s="79">
        <v>-6800750384</v>
      </c>
      <c r="G197" s="79">
        <v>6800750384</v>
      </c>
      <c r="H197">
        <v>0</v>
      </c>
      <c r="I197">
        <v>0</v>
      </c>
      <c r="J197">
        <v>0</v>
      </c>
    </row>
    <row r="198" spans="2:10" hidden="1">
      <c r="B198" t="s">
        <v>115</v>
      </c>
      <c r="C198">
        <v>3605010081</v>
      </c>
      <c r="D198" t="s">
        <v>375</v>
      </c>
      <c r="E198" t="s">
        <v>204</v>
      </c>
      <c r="F198" s="79">
        <v>1747674462</v>
      </c>
      <c r="G198">
        <v>0</v>
      </c>
      <c r="H198">
        <v>0</v>
      </c>
      <c r="I198">
        <v>0</v>
      </c>
      <c r="J198" s="79">
        <v>1747674462</v>
      </c>
    </row>
    <row r="199" spans="2:10" hidden="1">
      <c r="B199" t="s">
        <v>115</v>
      </c>
      <c r="C199">
        <v>3705010001</v>
      </c>
      <c r="D199" t="s">
        <v>375</v>
      </c>
      <c r="E199" t="s">
        <v>204</v>
      </c>
      <c r="F199" s="79">
        <v>-35631232633</v>
      </c>
      <c r="G199" s="79">
        <v>-6800750384</v>
      </c>
      <c r="H199">
        <v>0</v>
      </c>
      <c r="I199">
        <v>0</v>
      </c>
      <c r="J199" s="79">
        <v>-42431983017</v>
      </c>
    </row>
    <row r="200" spans="2:10" hidden="1">
      <c r="B200" t="s">
        <v>115</v>
      </c>
      <c r="C200">
        <v>3710010010</v>
      </c>
      <c r="D200" t="s">
        <v>376</v>
      </c>
      <c r="E200" t="s">
        <v>204</v>
      </c>
      <c r="F200" s="79">
        <v>4574508685</v>
      </c>
      <c r="G200">
        <v>0</v>
      </c>
      <c r="H200">
        <v>0</v>
      </c>
      <c r="I200">
        <v>0</v>
      </c>
      <c r="J200" s="79">
        <v>4574508685</v>
      </c>
    </row>
    <row r="201" spans="2:10" hidden="1">
      <c r="B201" t="s">
        <v>115</v>
      </c>
      <c r="C201">
        <v>3710010060</v>
      </c>
      <c r="D201" t="s">
        <v>377</v>
      </c>
      <c r="E201" t="s">
        <v>204</v>
      </c>
      <c r="F201" s="79">
        <v>25059835</v>
      </c>
      <c r="G201" s="79">
        <v>-59939100</v>
      </c>
      <c r="H201" s="79">
        <v>12207743</v>
      </c>
      <c r="I201">
        <v>0</v>
      </c>
      <c r="J201" s="79">
        <v>-22671522</v>
      </c>
    </row>
    <row r="202" spans="2:10" hidden="1">
      <c r="B202" t="s">
        <v>115</v>
      </c>
      <c r="C202">
        <v>3805050001</v>
      </c>
      <c r="D202" t="s">
        <v>378</v>
      </c>
      <c r="E202" t="s">
        <v>204</v>
      </c>
      <c r="F202" s="79">
        <v>170860118</v>
      </c>
      <c r="G202">
        <v>0</v>
      </c>
      <c r="H202">
        <v>0</v>
      </c>
      <c r="I202">
        <v>0</v>
      </c>
      <c r="J202" s="79">
        <v>170860118</v>
      </c>
    </row>
    <row r="203" spans="2:10" hidden="1">
      <c r="B203" t="s">
        <v>115</v>
      </c>
      <c r="C203">
        <v>3805100001</v>
      </c>
      <c r="D203" t="s">
        <v>379</v>
      </c>
      <c r="E203" t="s">
        <v>204</v>
      </c>
      <c r="F203" s="79">
        <v>-80502885</v>
      </c>
      <c r="G203">
        <v>0</v>
      </c>
      <c r="H203">
        <v>0</v>
      </c>
      <c r="I203">
        <v>0</v>
      </c>
      <c r="J203" s="79">
        <v>-80502885</v>
      </c>
    </row>
    <row r="204" spans="2:10" hidden="1">
      <c r="B204" t="s">
        <v>115</v>
      </c>
      <c r="C204">
        <v>3810120001</v>
      </c>
      <c r="D204" t="s">
        <v>380</v>
      </c>
      <c r="E204" t="s">
        <v>204</v>
      </c>
      <c r="F204" s="79">
        <v>-14755638207</v>
      </c>
      <c r="G204">
        <v>0</v>
      </c>
      <c r="H204">
        <v>0</v>
      </c>
      <c r="I204">
        <v>0</v>
      </c>
      <c r="J204" s="79">
        <v>-14755638207</v>
      </c>
    </row>
    <row r="205" spans="2:10" hidden="1">
      <c r="B205" t="s">
        <v>115</v>
      </c>
      <c r="C205">
        <v>4145300001</v>
      </c>
      <c r="D205" t="s">
        <v>381</v>
      </c>
      <c r="E205" t="s">
        <v>204</v>
      </c>
      <c r="F205">
        <v>0</v>
      </c>
      <c r="G205" s="79">
        <v>-92990534</v>
      </c>
      <c r="H205">
        <v>0</v>
      </c>
      <c r="I205">
        <v>0</v>
      </c>
      <c r="J205" s="79">
        <v>-92990534</v>
      </c>
    </row>
    <row r="206" spans="2:10" hidden="1">
      <c r="B206" t="s">
        <v>115</v>
      </c>
      <c r="C206">
        <v>4145350001</v>
      </c>
      <c r="D206" t="s">
        <v>382</v>
      </c>
      <c r="E206" t="s">
        <v>204</v>
      </c>
      <c r="F206">
        <v>0</v>
      </c>
      <c r="G206" s="79">
        <v>-13034218580</v>
      </c>
      <c r="H206" s="79">
        <v>419064961</v>
      </c>
      <c r="I206" s="79">
        <v>2433918065</v>
      </c>
      <c r="J206" s="79">
        <v>-15049071684</v>
      </c>
    </row>
    <row r="207" spans="2:10" hidden="1">
      <c r="B207" t="s">
        <v>115</v>
      </c>
      <c r="C207">
        <v>4205100001</v>
      </c>
      <c r="D207" t="s">
        <v>383</v>
      </c>
      <c r="E207" t="s">
        <v>204</v>
      </c>
      <c r="F207">
        <v>0</v>
      </c>
      <c r="G207" s="79">
        <v>-8952600</v>
      </c>
      <c r="H207">
        <v>0</v>
      </c>
      <c r="I207" s="79">
        <v>4205200</v>
      </c>
      <c r="J207" s="79">
        <v>-13157800</v>
      </c>
    </row>
    <row r="208" spans="2:10" hidden="1">
      <c r="B208" t="s">
        <v>115</v>
      </c>
      <c r="C208">
        <v>4210050001</v>
      </c>
      <c r="D208" t="s">
        <v>384</v>
      </c>
      <c r="E208" t="s">
        <v>204</v>
      </c>
      <c r="F208">
        <v>0</v>
      </c>
      <c r="G208" s="79">
        <v>-17467065</v>
      </c>
      <c r="H208">
        <v>0</v>
      </c>
      <c r="I208">
        <v>0</v>
      </c>
      <c r="J208" s="79">
        <v>-17467065</v>
      </c>
    </row>
    <row r="209" spans="2:10" hidden="1">
      <c r="B209" t="s">
        <v>115</v>
      </c>
      <c r="C209">
        <v>4210200001</v>
      </c>
      <c r="D209" t="s">
        <v>385</v>
      </c>
      <c r="E209" t="s">
        <v>204</v>
      </c>
      <c r="F209">
        <v>0</v>
      </c>
      <c r="G209" s="79">
        <v>-1865910594</v>
      </c>
      <c r="H209" s="79">
        <v>4933361936</v>
      </c>
      <c r="I209" s="79">
        <v>9635678056</v>
      </c>
      <c r="J209" s="79">
        <v>-6568226714</v>
      </c>
    </row>
    <row r="210" spans="2:10" hidden="1">
      <c r="B210" t="s">
        <v>115</v>
      </c>
      <c r="C210">
        <v>4210950001</v>
      </c>
      <c r="D210" t="s">
        <v>386</v>
      </c>
      <c r="E210" t="s">
        <v>204</v>
      </c>
      <c r="F210">
        <v>0</v>
      </c>
      <c r="G210" s="79">
        <v>-10039352</v>
      </c>
      <c r="H210">
        <v>0</v>
      </c>
      <c r="I210" s="79">
        <v>84931451</v>
      </c>
      <c r="J210" s="79">
        <v>-94970803</v>
      </c>
    </row>
    <row r="211" spans="2:10" hidden="1">
      <c r="B211" t="s">
        <v>115</v>
      </c>
      <c r="C211">
        <v>4255050002</v>
      </c>
      <c r="D211" t="s">
        <v>387</v>
      </c>
      <c r="E211" t="s">
        <v>204</v>
      </c>
      <c r="F211">
        <v>0</v>
      </c>
      <c r="G211" s="79">
        <v>-65217231</v>
      </c>
      <c r="H211">
        <v>0</v>
      </c>
      <c r="I211" s="79">
        <v>139052</v>
      </c>
      <c r="J211" s="79">
        <v>-65356283</v>
      </c>
    </row>
    <row r="212" spans="2:10" hidden="1">
      <c r="B212" t="s">
        <v>115</v>
      </c>
      <c r="C212">
        <v>4295050001</v>
      </c>
      <c r="D212" t="s">
        <v>388</v>
      </c>
      <c r="E212" t="s">
        <v>204</v>
      </c>
      <c r="F212">
        <v>0</v>
      </c>
      <c r="G212" s="79">
        <v>-44763</v>
      </c>
      <c r="H212">
        <v>0</v>
      </c>
      <c r="I212" s="79">
        <v>21026</v>
      </c>
      <c r="J212" s="79">
        <v>-65789</v>
      </c>
    </row>
    <row r="213" spans="2:10" hidden="1">
      <c r="B213" t="s">
        <v>115</v>
      </c>
      <c r="C213">
        <v>5105060000</v>
      </c>
      <c r="D213" t="s">
        <v>389</v>
      </c>
      <c r="E213" t="s">
        <v>204</v>
      </c>
      <c r="F213">
        <v>0</v>
      </c>
      <c r="G213" s="79">
        <v>228268132</v>
      </c>
      <c r="H213" s="79">
        <v>38869024</v>
      </c>
      <c r="I213">
        <v>0</v>
      </c>
      <c r="J213" s="79">
        <v>267137156</v>
      </c>
    </row>
    <row r="214" spans="2:10" hidden="1">
      <c r="B214" t="s">
        <v>115</v>
      </c>
      <c r="C214">
        <v>5105150000</v>
      </c>
      <c r="D214" t="s">
        <v>390</v>
      </c>
      <c r="E214" t="s">
        <v>204</v>
      </c>
      <c r="F214">
        <v>0</v>
      </c>
      <c r="G214" s="79">
        <v>79008504</v>
      </c>
      <c r="H214" s="79">
        <v>19775615</v>
      </c>
      <c r="I214">
        <v>0</v>
      </c>
      <c r="J214" s="79">
        <v>98784119</v>
      </c>
    </row>
    <row r="215" spans="2:10" hidden="1">
      <c r="B215" t="s">
        <v>115</v>
      </c>
      <c r="C215">
        <v>5105240000</v>
      </c>
      <c r="D215" t="s">
        <v>391</v>
      </c>
      <c r="E215" t="s">
        <v>204</v>
      </c>
      <c r="F215">
        <v>0</v>
      </c>
      <c r="G215" s="79">
        <v>33732150</v>
      </c>
      <c r="H215" s="79">
        <v>9880440</v>
      </c>
      <c r="I215">
        <v>0</v>
      </c>
      <c r="J215" s="79">
        <v>43612590</v>
      </c>
    </row>
    <row r="216" spans="2:10" hidden="1">
      <c r="B216" t="s">
        <v>115</v>
      </c>
      <c r="C216">
        <v>5105270000</v>
      </c>
      <c r="D216" t="s">
        <v>392</v>
      </c>
      <c r="E216" t="s">
        <v>204</v>
      </c>
      <c r="F216">
        <v>0</v>
      </c>
      <c r="G216" s="79">
        <v>15834141</v>
      </c>
      <c r="H216" s="79">
        <v>2914412</v>
      </c>
      <c r="I216">
        <v>0</v>
      </c>
      <c r="J216" s="79">
        <v>18748553</v>
      </c>
    </row>
    <row r="217" spans="2:10" hidden="1">
      <c r="B217" t="s">
        <v>115</v>
      </c>
      <c r="C217">
        <v>5105300000</v>
      </c>
      <c r="D217" t="s">
        <v>393</v>
      </c>
      <c r="E217" t="s">
        <v>204</v>
      </c>
      <c r="F217">
        <v>0</v>
      </c>
      <c r="G217" s="79">
        <v>32312644</v>
      </c>
      <c r="H217" s="79">
        <v>6044328</v>
      </c>
      <c r="I217">
        <v>0</v>
      </c>
      <c r="J217" s="79">
        <v>38356972</v>
      </c>
    </row>
    <row r="218" spans="2:10" hidden="1">
      <c r="B218" t="s">
        <v>115</v>
      </c>
      <c r="C218">
        <v>5105330000</v>
      </c>
      <c r="D218" t="s">
        <v>394</v>
      </c>
      <c r="E218" t="s">
        <v>204</v>
      </c>
      <c r="F218">
        <v>0</v>
      </c>
      <c r="G218" s="79">
        <v>2003314</v>
      </c>
      <c r="H218" s="79">
        <v>759470</v>
      </c>
      <c r="I218">
        <v>0</v>
      </c>
      <c r="J218" s="79">
        <v>2762784</v>
      </c>
    </row>
    <row r="219" spans="2:10" hidden="1">
      <c r="B219" t="s">
        <v>115</v>
      </c>
      <c r="C219">
        <v>5105360000</v>
      </c>
      <c r="D219" t="s">
        <v>395</v>
      </c>
      <c r="E219" t="s">
        <v>204</v>
      </c>
      <c r="F219">
        <v>0</v>
      </c>
      <c r="G219" s="79">
        <v>32667689</v>
      </c>
      <c r="H219" s="79">
        <v>6193235</v>
      </c>
      <c r="I219">
        <v>0</v>
      </c>
      <c r="J219" s="79">
        <v>38860924</v>
      </c>
    </row>
    <row r="220" spans="2:10" hidden="1">
      <c r="B220" t="s">
        <v>115</v>
      </c>
      <c r="C220">
        <v>5105390000</v>
      </c>
      <c r="D220" t="s">
        <v>396</v>
      </c>
      <c r="E220" t="s">
        <v>204</v>
      </c>
      <c r="F220">
        <v>0</v>
      </c>
      <c r="G220" s="79">
        <v>18635152</v>
      </c>
      <c r="H220" s="79">
        <v>2017710</v>
      </c>
      <c r="I220">
        <v>0</v>
      </c>
      <c r="J220" s="79">
        <v>20652862</v>
      </c>
    </row>
    <row r="221" spans="2:10" hidden="1">
      <c r="B221" t="s">
        <v>115</v>
      </c>
      <c r="C221">
        <v>5105450000</v>
      </c>
      <c r="D221" t="s">
        <v>397</v>
      </c>
      <c r="E221" t="s">
        <v>204</v>
      </c>
      <c r="F221">
        <v>0</v>
      </c>
      <c r="G221" s="79">
        <v>320000</v>
      </c>
      <c r="H221">
        <v>0</v>
      </c>
      <c r="I221">
        <v>0</v>
      </c>
      <c r="J221" s="79">
        <v>320000</v>
      </c>
    </row>
    <row r="222" spans="2:10" hidden="1">
      <c r="B222" t="s">
        <v>115</v>
      </c>
      <c r="C222">
        <v>5105480000</v>
      </c>
      <c r="D222" t="s">
        <v>398</v>
      </c>
      <c r="E222" t="s">
        <v>204</v>
      </c>
      <c r="F222">
        <v>0</v>
      </c>
      <c r="G222" s="79">
        <v>26298582</v>
      </c>
      <c r="H222" s="79">
        <v>2879323</v>
      </c>
      <c r="I222">
        <v>0</v>
      </c>
      <c r="J222" s="79">
        <v>29177905</v>
      </c>
    </row>
    <row r="223" spans="2:10" hidden="1">
      <c r="B223" t="s">
        <v>115</v>
      </c>
      <c r="C223">
        <v>5105510000</v>
      </c>
      <c r="D223" t="s">
        <v>399</v>
      </c>
      <c r="E223" t="s">
        <v>204</v>
      </c>
      <c r="F223">
        <v>0</v>
      </c>
      <c r="G223">
        <v>0</v>
      </c>
      <c r="H223" s="79">
        <v>2137572</v>
      </c>
      <c r="I223">
        <v>0</v>
      </c>
      <c r="J223" s="79">
        <v>2137572</v>
      </c>
    </row>
    <row r="224" spans="2:10" hidden="1">
      <c r="B224" t="s">
        <v>115</v>
      </c>
      <c r="C224">
        <v>5105680000</v>
      </c>
      <c r="D224" t="s">
        <v>400</v>
      </c>
      <c r="E224" t="s">
        <v>204</v>
      </c>
      <c r="F224">
        <v>0</v>
      </c>
      <c r="G224" s="79">
        <v>20183000</v>
      </c>
      <c r="H224" s="79">
        <v>3764500</v>
      </c>
      <c r="I224">
        <v>0</v>
      </c>
      <c r="J224" s="79">
        <v>23947500</v>
      </c>
    </row>
    <row r="225" spans="2:10" hidden="1">
      <c r="B225" t="s">
        <v>115</v>
      </c>
      <c r="C225">
        <v>5105690000</v>
      </c>
      <c r="D225" t="s">
        <v>401</v>
      </c>
      <c r="E225" t="s">
        <v>204</v>
      </c>
      <c r="F225">
        <v>0</v>
      </c>
      <c r="G225" s="79">
        <v>2260439</v>
      </c>
      <c r="H225" s="79">
        <v>92685</v>
      </c>
      <c r="I225" s="79">
        <v>3298100</v>
      </c>
      <c r="J225" s="79">
        <v>-944976</v>
      </c>
    </row>
    <row r="226" spans="2:10" hidden="1">
      <c r="B226" t="s">
        <v>115</v>
      </c>
      <c r="C226">
        <v>5105700000</v>
      </c>
      <c r="D226" t="s">
        <v>402</v>
      </c>
      <c r="E226" t="s">
        <v>204</v>
      </c>
      <c r="F226">
        <v>0</v>
      </c>
      <c r="G226" s="79">
        <v>35023023</v>
      </c>
      <c r="H226" s="79">
        <v>8655350</v>
      </c>
      <c r="I226" s="79">
        <v>2916500</v>
      </c>
      <c r="J226" s="79">
        <v>40761873</v>
      </c>
    </row>
    <row r="227" spans="2:10" hidden="1">
      <c r="B227" t="s">
        <v>115</v>
      </c>
      <c r="C227">
        <v>5105720000</v>
      </c>
      <c r="D227" t="s">
        <v>403</v>
      </c>
      <c r="E227" t="s">
        <v>204</v>
      </c>
      <c r="F227">
        <v>0</v>
      </c>
      <c r="G227" s="79">
        <v>14951400</v>
      </c>
      <c r="H227" s="79">
        <v>2905300</v>
      </c>
      <c r="I227">
        <v>0</v>
      </c>
      <c r="J227" s="79">
        <v>17856700</v>
      </c>
    </row>
    <row r="228" spans="2:10" hidden="1">
      <c r="B228" t="s">
        <v>115</v>
      </c>
      <c r="C228">
        <v>5105750000</v>
      </c>
      <c r="D228" t="s">
        <v>404</v>
      </c>
      <c r="E228" t="s">
        <v>204</v>
      </c>
      <c r="F228">
        <v>0</v>
      </c>
      <c r="G228" s="79">
        <v>1119500</v>
      </c>
      <c r="H228">
        <v>0</v>
      </c>
      <c r="I228">
        <v>0</v>
      </c>
      <c r="J228" s="79">
        <v>1119500</v>
      </c>
    </row>
    <row r="229" spans="2:10" hidden="1">
      <c r="B229" t="s">
        <v>115</v>
      </c>
      <c r="C229">
        <v>5105780000</v>
      </c>
      <c r="D229" t="s">
        <v>405</v>
      </c>
      <c r="E229" t="s">
        <v>204</v>
      </c>
      <c r="F229">
        <v>0</v>
      </c>
      <c r="G229" s="79">
        <v>11281767</v>
      </c>
      <c r="H229">
        <v>0</v>
      </c>
      <c r="I229">
        <v>0</v>
      </c>
      <c r="J229" s="79">
        <v>11281767</v>
      </c>
    </row>
    <row r="230" spans="2:10" hidden="1">
      <c r="B230" t="s">
        <v>115</v>
      </c>
      <c r="C230">
        <v>5105840000</v>
      </c>
      <c r="D230" t="s">
        <v>406</v>
      </c>
      <c r="E230" t="s">
        <v>204</v>
      </c>
      <c r="F230">
        <v>0</v>
      </c>
      <c r="G230" s="79">
        <v>4145500</v>
      </c>
      <c r="H230" s="79">
        <v>212900</v>
      </c>
      <c r="I230">
        <v>0</v>
      </c>
      <c r="J230" s="79">
        <v>4358400</v>
      </c>
    </row>
    <row r="231" spans="2:10" hidden="1">
      <c r="B231" t="s">
        <v>115</v>
      </c>
      <c r="C231">
        <v>5105950000</v>
      </c>
      <c r="D231" t="s">
        <v>407</v>
      </c>
      <c r="E231" t="s">
        <v>204</v>
      </c>
      <c r="F231">
        <v>0</v>
      </c>
      <c r="G231" s="79">
        <v>4148479</v>
      </c>
      <c r="H231" s="79">
        <v>487114</v>
      </c>
      <c r="I231">
        <v>0</v>
      </c>
      <c r="J231" s="79">
        <v>4635593</v>
      </c>
    </row>
    <row r="232" spans="2:10" hidden="1">
      <c r="B232" t="s">
        <v>115</v>
      </c>
      <c r="C232">
        <v>5110100000</v>
      </c>
      <c r="D232" t="s">
        <v>408</v>
      </c>
      <c r="E232" t="s">
        <v>204</v>
      </c>
      <c r="F232">
        <v>0</v>
      </c>
      <c r="G232" s="79">
        <v>20559630</v>
      </c>
      <c r="H232">
        <v>0</v>
      </c>
      <c r="I232">
        <v>0</v>
      </c>
      <c r="J232" s="79">
        <v>20559630</v>
      </c>
    </row>
    <row r="233" spans="2:10" hidden="1">
      <c r="B233" t="s">
        <v>115</v>
      </c>
      <c r="C233">
        <v>5110950000</v>
      </c>
      <c r="D233" t="s">
        <v>409</v>
      </c>
      <c r="E233" t="s">
        <v>204</v>
      </c>
      <c r="F233">
        <v>0</v>
      </c>
      <c r="G233" s="79">
        <v>63665000</v>
      </c>
      <c r="H233">
        <v>0</v>
      </c>
      <c r="I233">
        <v>0</v>
      </c>
      <c r="J233" s="79">
        <v>63665000</v>
      </c>
    </row>
    <row r="234" spans="2:10" hidden="1">
      <c r="B234" t="s">
        <v>115</v>
      </c>
      <c r="C234">
        <v>5110950001</v>
      </c>
      <c r="D234" t="s">
        <v>410</v>
      </c>
      <c r="E234" t="s">
        <v>204</v>
      </c>
      <c r="F234">
        <v>0</v>
      </c>
      <c r="G234" s="79">
        <v>394039644</v>
      </c>
      <c r="H234" s="79">
        <v>65673274</v>
      </c>
      <c r="I234">
        <v>0</v>
      </c>
      <c r="J234" s="79">
        <v>459712918</v>
      </c>
    </row>
    <row r="235" spans="2:10" hidden="1">
      <c r="B235" t="s">
        <v>115</v>
      </c>
      <c r="C235">
        <v>5115050000</v>
      </c>
      <c r="D235" t="s">
        <v>411</v>
      </c>
      <c r="E235" t="s">
        <v>204</v>
      </c>
      <c r="F235">
        <v>0</v>
      </c>
      <c r="G235" s="79">
        <v>257979720</v>
      </c>
      <c r="H235" s="79">
        <v>21988890</v>
      </c>
      <c r="I235">
        <v>0</v>
      </c>
      <c r="J235" s="79">
        <v>279968610</v>
      </c>
    </row>
    <row r="236" spans="2:10" hidden="1">
      <c r="B236" t="s">
        <v>115</v>
      </c>
      <c r="C236">
        <v>5115700000</v>
      </c>
      <c r="D236" t="s">
        <v>412</v>
      </c>
      <c r="E236" t="s">
        <v>204</v>
      </c>
      <c r="F236">
        <v>0</v>
      </c>
      <c r="G236" s="79">
        <v>2954130</v>
      </c>
      <c r="H236">
        <v>0</v>
      </c>
      <c r="I236">
        <v>0</v>
      </c>
      <c r="J236" s="79">
        <v>2954130</v>
      </c>
    </row>
    <row r="237" spans="2:10" hidden="1">
      <c r="B237" t="s">
        <v>115</v>
      </c>
      <c r="C237">
        <v>5130200000</v>
      </c>
      <c r="D237" t="s">
        <v>413</v>
      </c>
      <c r="E237" t="s">
        <v>204</v>
      </c>
      <c r="F237">
        <v>0</v>
      </c>
      <c r="G237" s="79">
        <v>7438480</v>
      </c>
      <c r="H237">
        <v>0</v>
      </c>
      <c r="I237">
        <v>0</v>
      </c>
      <c r="J237" s="79">
        <v>7438480</v>
      </c>
    </row>
    <row r="238" spans="2:10" hidden="1">
      <c r="B238" t="s">
        <v>115</v>
      </c>
      <c r="C238">
        <v>5135370000</v>
      </c>
      <c r="D238" t="s">
        <v>414</v>
      </c>
      <c r="E238" t="s">
        <v>204</v>
      </c>
      <c r="F238">
        <v>0</v>
      </c>
      <c r="G238" s="79">
        <v>3011855</v>
      </c>
      <c r="H238" s="79">
        <v>602371</v>
      </c>
      <c r="I238">
        <v>0</v>
      </c>
      <c r="J238" s="79">
        <v>3614226</v>
      </c>
    </row>
    <row r="239" spans="2:10" hidden="1">
      <c r="B239" t="s">
        <v>115</v>
      </c>
      <c r="C239">
        <v>5135500000</v>
      </c>
      <c r="D239" t="s">
        <v>415</v>
      </c>
      <c r="E239" t="s">
        <v>204</v>
      </c>
      <c r="F239">
        <v>0</v>
      </c>
      <c r="G239" s="79">
        <v>54565000</v>
      </c>
      <c r="H239" s="79">
        <v>10913000</v>
      </c>
      <c r="I239">
        <v>0</v>
      </c>
      <c r="J239" s="79">
        <v>65478000</v>
      </c>
    </row>
    <row r="240" spans="2:10" hidden="1">
      <c r="B240" t="s">
        <v>115</v>
      </c>
      <c r="C240">
        <v>5140100000</v>
      </c>
      <c r="D240" t="s">
        <v>416</v>
      </c>
      <c r="E240" t="s">
        <v>204</v>
      </c>
      <c r="F240">
        <v>0</v>
      </c>
      <c r="G240" s="79">
        <v>13404506</v>
      </c>
      <c r="H240">
        <v>0</v>
      </c>
      <c r="I240">
        <v>0</v>
      </c>
      <c r="J240" s="79">
        <v>13404506</v>
      </c>
    </row>
    <row r="241" spans="2:10" hidden="1">
      <c r="B241" t="s">
        <v>115</v>
      </c>
      <c r="C241">
        <v>5140150000</v>
      </c>
      <c r="D241" t="s">
        <v>417</v>
      </c>
      <c r="E241" t="s">
        <v>204</v>
      </c>
      <c r="F241">
        <v>0</v>
      </c>
      <c r="G241" s="79">
        <v>3516586</v>
      </c>
      <c r="H241">
        <v>0</v>
      </c>
      <c r="I241">
        <v>0</v>
      </c>
      <c r="J241" s="79">
        <v>3516586</v>
      </c>
    </row>
    <row r="242" spans="2:10" hidden="1">
      <c r="B242" t="s">
        <v>115</v>
      </c>
      <c r="C242">
        <v>5145250000</v>
      </c>
      <c r="D242" t="s">
        <v>418</v>
      </c>
      <c r="E242" t="s">
        <v>204</v>
      </c>
      <c r="F242">
        <v>0</v>
      </c>
      <c r="G242" s="79">
        <v>30060445</v>
      </c>
      <c r="H242" s="79">
        <v>546293</v>
      </c>
      <c r="I242">
        <v>0</v>
      </c>
      <c r="J242" s="79">
        <v>30606738</v>
      </c>
    </row>
    <row r="243" spans="2:10" hidden="1">
      <c r="B243" t="s">
        <v>115</v>
      </c>
      <c r="C243">
        <v>5145250002</v>
      </c>
      <c r="D243" t="s">
        <v>419</v>
      </c>
      <c r="E243" t="s">
        <v>204</v>
      </c>
      <c r="F243">
        <v>0</v>
      </c>
      <c r="G243" s="79">
        <v>374824</v>
      </c>
      <c r="H243">
        <v>0</v>
      </c>
      <c r="I243">
        <v>0</v>
      </c>
      <c r="J243" s="79">
        <v>374824</v>
      </c>
    </row>
    <row r="244" spans="2:10" hidden="1">
      <c r="B244" t="s">
        <v>115</v>
      </c>
      <c r="C244">
        <v>5155200005</v>
      </c>
      <c r="D244" t="s">
        <v>420</v>
      </c>
      <c r="E244" t="s">
        <v>204</v>
      </c>
      <c r="F244">
        <v>0</v>
      </c>
      <c r="G244" s="79">
        <v>15000000</v>
      </c>
      <c r="H244" s="79">
        <v>2500000</v>
      </c>
      <c r="I244">
        <v>0</v>
      </c>
      <c r="J244" s="79">
        <v>17500000</v>
      </c>
    </row>
    <row r="245" spans="2:10" hidden="1">
      <c r="B245" t="s">
        <v>115</v>
      </c>
      <c r="C245">
        <v>5160050000</v>
      </c>
      <c r="D245" t="s">
        <v>421</v>
      </c>
      <c r="E245" t="s">
        <v>204</v>
      </c>
      <c r="F245">
        <v>0</v>
      </c>
      <c r="G245" s="79">
        <v>591089</v>
      </c>
      <c r="H245" s="79">
        <v>98514</v>
      </c>
      <c r="I245">
        <v>0</v>
      </c>
      <c r="J245" s="79">
        <v>689603</v>
      </c>
    </row>
    <row r="246" spans="2:10" hidden="1">
      <c r="B246" t="s">
        <v>115</v>
      </c>
      <c r="C246">
        <v>5195600000</v>
      </c>
      <c r="D246" t="s">
        <v>422</v>
      </c>
      <c r="E246" t="s">
        <v>204</v>
      </c>
      <c r="F246">
        <v>0</v>
      </c>
      <c r="G246" s="79">
        <v>4662200</v>
      </c>
      <c r="H246" s="79">
        <v>408000</v>
      </c>
      <c r="I246">
        <v>0</v>
      </c>
      <c r="J246" s="79">
        <v>5070200</v>
      </c>
    </row>
    <row r="247" spans="2:10" hidden="1">
      <c r="B247" t="s">
        <v>115</v>
      </c>
      <c r="C247">
        <v>5235600000</v>
      </c>
      <c r="D247" t="s">
        <v>423</v>
      </c>
      <c r="E247" t="s">
        <v>204</v>
      </c>
      <c r="F247">
        <v>0</v>
      </c>
      <c r="G247" s="79">
        <v>35700000</v>
      </c>
      <c r="H247" s="79">
        <v>7288750</v>
      </c>
      <c r="I247" s="79">
        <v>11156</v>
      </c>
      <c r="J247" s="79">
        <v>42977594</v>
      </c>
    </row>
    <row r="248" spans="2:10" hidden="1">
      <c r="B248" t="s">
        <v>115</v>
      </c>
      <c r="C248">
        <v>5305050001</v>
      </c>
      <c r="D248" t="s">
        <v>424</v>
      </c>
      <c r="E248" t="s">
        <v>204</v>
      </c>
      <c r="F248">
        <v>0</v>
      </c>
      <c r="G248" s="79">
        <v>551629778</v>
      </c>
      <c r="H248" s="79">
        <v>139929</v>
      </c>
      <c r="I248">
        <v>0</v>
      </c>
      <c r="J248" s="79">
        <v>551769707</v>
      </c>
    </row>
    <row r="249" spans="2:10" hidden="1">
      <c r="B249" t="s">
        <v>115</v>
      </c>
      <c r="C249">
        <v>5305050003</v>
      </c>
      <c r="D249" t="s">
        <v>425</v>
      </c>
      <c r="E249" t="s">
        <v>204</v>
      </c>
      <c r="F249">
        <v>0</v>
      </c>
      <c r="G249" s="79">
        <v>217000</v>
      </c>
      <c r="H249" s="79">
        <v>71000</v>
      </c>
      <c r="I249">
        <v>0</v>
      </c>
      <c r="J249" s="79">
        <v>288000</v>
      </c>
    </row>
    <row r="250" spans="2:10" hidden="1">
      <c r="B250" t="s">
        <v>115</v>
      </c>
      <c r="C250">
        <v>5305050004</v>
      </c>
      <c r="D250" t="s">
        <v>426</v>
      </c>
      <c r="E250" t="s">
        <v>204</v>
      </c>
      <c r="F250">
        <v>0</v>
      </c>
      <c r="G250" s="79">
        <v>59856015</v>
      </c>
      <c r="H250" s="79">
        <v>11186237</v>
      </c>
      <c r="I250">
        <v>0</v>
      </c>
      <c r="J250" s="79">
        <v>71042252</v>
      </c>
    </row>
    <row r="251" spans="2:10" hidden="1">
      <c r="B251" t="s">
        <v>115</v>
      </c>
      <c r="C251">
        <v>5305150000</v>
      </c>
      <c r="D251" t="s">
        <v>427</v>
      </c>
      <c r="E251" t="s">
        <v>204</v>
      </c>
      <c r="F251">
        <v>0</v>
      </c>
      <c r="G251" s="79">
        <v>42660221</v>
      </c>
      <c r="H251" s="79">
        <v>753533</v>
      </c>
      <c r="I251">
        <v>0</v>
      </c>
      <c r="J251" s="79">
        <v>43413754</v>
      </c>
    </row>
    <row r="252" spans="2:10" hidden="1">
      <c r="B252" t="s">
        <v>115</v>
      </c>
      <c r="C252">
        <v>5305200001</v>
      </c>
      <c r="D252" t="s">
        <v>428</v>
      </c>
      <c r="E252" t="s">
        <v>204</v>
      </c>
      <c r="F252">
        <v>0</v>
      </c>
      <c r="G252" s="79">
        <v>80122995</v>
      </c>
      <c r="H252">
        <v>0</v>
      </c>
      <c r="I252">
        <v>0</v>
      </c>
      <c r="J252" s="79">
        <v>80122995</v>
      </c>
    </row>
    <row r="253" spans="2:10" hidden="1">
      <c r="B253" t="s">
        <v>115</v>
      </c>
      <c r="C253">
        <v>5305200002</v>
      </c>
      <c r="D253" t="s">
        <v>429</v>
      </c>
      <c r="E253" t="s">
        <v>204</v>
      </c>
      <c r="F253">
        <v>0</v>
      </c>
      <c r="G253" s="79">
        <v>24705999</v>
      </c>
      <c r="H253" s="79">
        <v>3693</v>
      </c>
      <c r="I253">
        <v>0</v>
      </c>
      <c r="J253" s="79">
        <v>24709692</v>
      </c>
    </row>
    <row r="254" spans="2:10" hidden="1">
      <c r="B254" t="s">
        <v>115</v>
      </c>
      <c r="C254">
        <v>5305200005</v>
      </c>
      <c r="D254" t="s">
        <v>430</v>
      </c>
      <c r="E254" t="s">
        <v>204</v>
      </c>
      <c r="F254">
        <v>0</v>
      </c>
      <c r="G254" s="79">
        <v>13500</v>
      </c>
      <c r="H254">
        <v>0</v>
      </c>
      <c r="I254">
        <v>0</v>
      </c>
      <c r="J254" s="79">
        <v>13500</v>
      </c>
    </row>
    <row r="255" spans="2:10" hidden="1">
      <c r="B255" t="s">
        <v>115</v>
      </c>
      <c r="C255">
        <v>5305200009</v>
      </c>
      <c r="D255" t="s">
        <v>431</v>
      </c>
      <c r="E255" t="s">
        <v>204</v>
      </c>
      <c r="F255">
        <v>0</v>
      </c>
      <c r="G255" s="79">
        <v>-2422322</v>
      </c>
      <c r="H255" s="79">
        <v>2385558</v>
      </c>
      <c r="I255">
        <v>0</v>
      </c>
      <c r="J255" s="79">
        <v>-36764</v>
      </c>
    </row>
    <row r="256" spans="2:10" hidden="1">
      <c r="B256" t="s">
        <v>115</v>
      </c>
      <c r="C256">
        <v>5305200011</v>
      </c>
      <c r="D256" t="s">
        <v>432</v>
      </c>
      <c r="E256" t="s">
        <v>204</v>
      </c>
      <c r="F256">
        <v>0</v>
      </c>
      <c r="G256" s="79">
        <v>26355172</v>
      </c>
      <c r="H256" s="79">
        <v>4004081</v>
      </c>
      <c r="I256">
        <v>0</v>
      </c>
      <c r="J256" s="79">
        <v>30359253</v>
      </c>
    </row>
    <row r="257" spans="2:10" hidden="1">
      <c r="B257" t="s">
        <v>115</v>
      </c>
      <c r="C257">
        <v>5305250000</v>
      </c>
      <c r="D257" t="s">
        <v>433</v>
      </c>
      <c r="E257" t="s">
        <v>204</v>
      </c>
      <c r="F257">
        <v>0</v>
      </c>
      <c r="G257" s="79">
        <v>608793642</v>
      </c>
      <c r="H257" s="79">
        <v>3457688984</v>
      </c>
      <c r="I257">
        <v>0</v>
      </c>
      <c r="J257" s="79">
        <v>4066482626</v>
      </c>
    </row>
    <row r="258" spans="2:10" hidden="1">
      <c r="B258" t="s">
        <v>115</v>
      </c>
      <c r="C258">
        <v>5305950001</v>
      </c>
      <c r="D258" t="s">
        <v>434</v>
      </c>
      <c r="E258" t="s">
        <v>204</v>
      </c>
      <c r="F258">
        <v>0</v>
      </c>
      <c r="G258">
        <v>20</v>
      </c>
      <c r="H258">
        <v>1</v>
      </c>
      <c r="I258">
        <v>0</v>
      </c>
      <c r="J258">
        <v>21</v>
      </c>
    </row>
    <row r="259" spans="2:10" hidden="1">
      <c r="B259" t="s">
        <v>115</v>
      </c>
      <c r="C259">
        <v>5310950515</v>
      </c>
      <c r="D259" t="s">
        <v>435</v>
      </c>
      <c r="E259" t="s">
        <v>204</v>
      </c>
      <c r="F259">
        <v>0</v>
      </c>
      <c r="G259" s="79">
        <v>-83953</v>
      </c>
      <c r="H259">
        <v>0</v>
      </c>
      <c r="I259">
        <v>8</v>
      </c>
      <c r="J259" s="79">
        <v>-83961</v>
      </c>
    </row>
    <row r="260" spans="2:10" hidden="1">
      <c r="B260" t="s">
        <v>115</v>
      </c>
      <c r="C260">
        <v>5313050000</v>
      </c>
      <c r="D260" t="s">
        <v>436</v>
      </c>
      <c r="E260" t="s">
        <v>204</v>
      </c>
      <c r="F260">
        <v>0</v>
      </c>
      <c r="G260" s="79">
        <v>124266788</v>
      </c>
      <c r="H260">
        <v>0</v>
      </c>
      <c r="I260">
        <v>0</v>
      </c>
      <c r="J260" s="79">
        <v>124266788</v>
      </c>
    </row>
    <row r="261" spans="2:10" hidden="1">
      <c r="B261" t="s">
        <v>115</v>
      </c>
      <c r="C261">
        <v>5315150000</v>
      </c>
      <c r="D261" t="s">
        <v>437</v>
      </c>
      <c r="E261" t="s">
        <v>204</v>
      </c>
      <c r="F261">
        <v>0</v>
      </c>
      <c r="G261">
        <v>0</v>
      </c>
      <c r="H261" s="79">
        <v>12697900</v>
      </c>
      <c r="I261">
        <v>0</v>
      </c>
      <c r="J261" s="79">
        <v>12697900</v>
      </c>
    </row>
    <row r="262" spans="2:10" hidden="1">
      <c r="B262" t="s">
        <v>115</v>
      </c>
      <c r="C262">
        <v>5315200000</v>
      </c>
      <c r="D262" t="s">
        <v>438</v>
      </c>
      <c r="E262" t="s">
        <v>204</v>
      </c>
      <c r="F262">
        <v>0</v>
      </c>
      <c r="G262" s="79">
        <v>275515365</v>
      </c>
      <c r="H262" s="79">
        <v>70750</v>
      </c>
      <c r="I262">
        <v>419</v>
      </c>
      <c r="J262" s="79">
        <v>275585696</v>
      </c>
    </row>
    <row r="263" spans="2:10" hidden="1">
      <c r="B263" t="s">
        <v>115</v>
      </c>
      <c r="C263">
        <v>5395250000</v>
      </c>
      <c r="D263" t="s">
        <v>439</v>
      </c>
      <c r="E263" t="s">
        <v>204</v>
      </c>
      <c r="F263">
        <v>0</v>
      </c>
      <c r="G263" s="79">
        <v>2859967</v>
      </c>
      <c r="H263">
        <v>0</v>
      </c>
      <c r="I263">
        <v>0</v>
      </c>
      <c r="J263" s="79">
        <v>2859967</v>
      </c>
    </row>
    <row r="264" spans="2:10" hidden="1">
      <c r="B264" t="s">
        <v>115</v>
      </c>
      <c r="C264">
        <v>5395950001</v>
      </c>
      <c r="D264" t="s">
        <v>440</v>
      </c>
      <c r="E264" t="s">
        <v>204</v>
      </c>
      <c r="F264">
        <v>0</v>
      </c>
      <c r="G264">
        <v>1</v>
      </c>
      <c r="H264">
        <v>0</v>
      </c>
      <c r="I264">
        <v>0</v>
      </c>
      <c r="J264">
        <v>1</v>
      </c>
    </row>
    <row r="265" spans="2:10" hidden="1">
      <c r="B265" t="s">
        <v>115</v>
      </c>
      <c r="C265">
        <v>5395950002</v>
      </c>
      <c r="D265" t="s">
        <v>441</v>
      </c>
      <c r="E265" t="s">
        <v>204</v>
      </c>
      <c r="F265">
        <v>0</v>
      </c>
      <c r="G265">
        <v>-419</v>
      </c>
      <c r="H265">
        <v>423</v>
      </c>
      <c r="I265">
        <v>2</v>
      </c>
      <c r="J265">
        <v>2</v>
      </c>
    </row>
    <row r="266" spans="2:10" hidden="1">
      <c r="B266" t="s">
        <v>115</v>
      </c>
      <c r="C266">
        <v>5405050000</v>
      </c>
      <c r="D266" t="s">
        <v>442</v>
      </c>
      <c r="E266" t="s">
        <v>204</v>
      </c>
      <c r="F266">
        <v>0</v>
      </c>
      <c r="G266" s="79">
        <v>2233246486</v>
      </c>
      <c r="H266">
        <v>0</v>
      </c>
      <c r="I266">
        <v>0</v>
      </c>
      <c r="J266" s="79">
        <v>2233246486</v>
      </c>
    </row>
    <row r="267" spans="2:10" hidden="1">
      <c r="B267" t="s">
        <v>115</v>
      </c>
      <c r="C267">
        <v>6135221016</v>
      </c>
      <c r="D267" t="s">
        <v>443</v>
      </c>
      <c r="E267" t="s">
        <v>204</v>
      </c>
      <c r="F267">
        <v>0</v>
      </c>
      <c r="G267" s="79">
        <v>979110</v>
      </c>
      <c r="H267">
        <v>0</v>
      </c>
      <c r="I267">
        <v>0</v>
      </c>
      <c r="J267" s="79">
        <v>979110</v>
      </c>
    </row>
    <row r="268" spans="2:10" hidden="1">
      <c r="B268" t="s">
        <v>115</v>
      </c>
      <c r="C268">
        <v>6135221080</v>
      </c>
      <c r="D268" t="s">
        <v>444</v>
      </c>
      <c r="E268" t="s">
        <v>204</v>
      </c>
      <c r="F268">
        <v>0</v>
      </c>
      <c r="G268" s="79">
        <v>44763</v>
      </c>
      <c r="H268" s="79">
        <v>21026</v>
      </c>
      <c r="I268">
        <v>0</v>
      </c>
      <c r="J268" s="79">
        <v>65789</v>
      </c>
    </row>
    <row r="269" spans="2:10" hidden="1">
      <c r="B269" t="s">
        <v>115</v>
      </c>
      <c r="C269">
        <v>6145300505</v>
      </c>
      <c r="D269" t="s">
        <v>445</v>
      </c>
      <c r="E269" t="s">
        <v>204</v>
      </c>
      <c r="F269">
        <v>0</v>
      </c>
      <c r="G269" s="79">
        <v>2296530192</v>
      </c>
      <c r="H269" s="79">
        <v>268343617</v>
      </c>
      <c r="I269" s="79">
        <v>21760</v>
      </c>
      <c r="J269" s="79">
        <v>2564852049</v>
      </c>
    </row>
    <row r="270" spans="2:10" hidden="1">
      <c r="B270" t="s">
        <v>115</v>
      </c>
      <c r="C270">
        <v>6145300510</v>
      </c>
      <c r="D270" t="s">
        <v>446</v>
      </c>
      <c r="E270" t="s">
        <v>204</v>
      </c>
      <c r="F270">
        <v>0</v>
      </c>
      <c r="G270" s="79">
        <v>261790354</v>
      </c>
      <c r="H270" s="79">
        <v>39377152</v>
      </c>
      <c r="I270" s="79">
        <v>411543</v>
      </c>
      <c r="J270" s="79">
        <v>300755963</v>
      </c>
    </row>
    <row r="271" spans="2:10" hidden="1">
      <c r="B271" t="s">
        <v>115</v>
      </c>
      <c r="C271">
        <v>6145303045</v>
      </c>
      <c r="D271" t="s">
        <v>447</v>
      </c>
      <c r="E271" t="s">
        <v>204</v>
      </c>
      <c r="F271">
        <v>0</v>
      </c>
      <c r="G271" s="79">
        <v>297500</v>
      </c>
      <c r="H271" s="79">
        <v>7446559</v>
      </c>
      <c r="I271">
        <v>0</v>
      </c>
      <c r="J271" s="79">
        <v>7744059</v>
      </c>
    </row>
    <row r="272" spans="2:10" hidden="1">
      <c r="B272" t="s">
        <v>115</v>
      </c>
      <c r="C272">
        <v>6145303060</v>
      </c>
      <c r="D272" t="s">
        <v>448</v>
      </c>
      <c r="E272" t="s">
        <v>204</v>
      </c>
      <c r="F272">
        <v>0</v>
      </c>
      <c r="G272" s="79">
        <v>20263677</v>
      </c>
      <c r="H272">
        <v>0</v>
      </c>
      <c r="I272">
        <v>0</v>
      </c>
      <c r="J272" s="79">
        <v>20263677</v>
      </c>
    </row>
    <row r="273" spans="2:10" hidden="1">
      <c r="B273" t="s">
        <v>115</v>
      </c>
      <c r="C273">
        <v>6145350503</v>
      </c>
      <c r="D273" t="s">
        <v>449</v>
      </c>
      <c r="E273" t="s">
        <v>204</v>
      </c>
      <c r="F273">
        <v>0</v>
      </c>
      <c r="G273" s="79">
        <v>387040</v>
      </c>
      <c r="H273" s="79">
        <v>398860</v>
      </c>
      <c r="I273">
        <v>0</v>
      </c>
      <c r="J273" s="79">
        <v>785900</v>
      </c>
    </row>
    <row r="274" spans="2:10" hidden="1">
      <c r="B274" t="s">
        <v>115</v>
      </c>
      <c r="C274">
        <v>6145350506</v>
      </c>
      <c r="D274" t="s">
        <v>450</v>
      </c>
      <c r="E274" t="s">
        <v>204</v>
      </c>
      <c r="F274">
        <v>0</v>
      </c>
      <c r="G274" s="79">
        <v>643340651</v>
      </c>
      <c r="H274" s="79">
        <v>111089291</v>
      </c>
      <c r="I274">
        <v>0</v>
      </c>
      <c r="J274" s="79">
        <v>754429942</v>
      </c>
    </row>
    <row r="275" spans="2:10" hidden="1">
      <c r="B275" t="s">
        <v>115</v>
      </c>
      <c r="C275">
        <v>6145350512</v>
      </c>
      <c r="D275" t="s">
        <v>451</v>
      </c>
      <c r="E275" t="s">
        <v>204</v>
      </c>
      <c r="F275">
        <v>0</v>
      </c>
      <c r="G275" s="79">
        <v>3552228</v>
      </c>
      <c r="H275">
        <v>0</v>
      </c>
      <c r="I275">
        <v>0</v>
      </c>
      <c r="J275" s="79">
        <v>3552228</v>
      </c>
    </row>
    <row r="276" spans="2:10" hidden="1">
      <c r="B276" t="s">
        <v>115</v>
      </c>
      <c r="C276">
        <v>6145350515</v>
      </c>
      <c r="D276" t="s">
        <v>452</v>
      </c>
      <c r="E276" t="s">
        <v>204</v>
      </c>
      <c r="F276">
        <v>0</v>
      </c>
      <c r="G276" s="79">
        <v>159806050</v>
      </c>
      <c r="H276" s="79">
        <v>27146382</v>
      </c>
      <c r="I276">
        <v>0</v>
      </c>
      <c r="J276" s="79">
        <v>186952432</v>
      </c>
    </row>
    <row r="277" spans="2:10" hidden="1">
      <c r="B277" t="s">
        <v>115</v>
      </c>
      <c r="C277">
        <v>6145350524</v>
      </c>
      <c r="D277" t="s">
        <v>453</v>
      </c>
      <c r="E277" t="s">
        <v>204</v>
      </c>
      <c r="F277">
        <v>0</v>
      </c>
      <c r="G277" s="79">
        <v>14913161</v>
      </c>
      <c r="H277" s="79">
        <v>6044318</v>
      </c>
      <c r="I277">
        <v>0</v>
      </c>
      <c r="J277" s="79">
        <v>20957479</v>
      </c>
    </row>
    <row r="278" spans="2:10" hidden="1">
      <c r="B278" t="s">
        <v>115</v>
      </c>
      <c r="C278">
        <v>6145350527</v>
      </c>
      <c r="D278" t="s">
        <v>454</v>
      </c>
      <c r="E278" t="s">
        <v>204</v>
      </c>
      <c r="F278">
        <v>0</v>
      </c>
      <c r="G278" s="79">
        <v>43788920</v>
      </c>
      <c r="H278" s="79">
        <v>8054074</v>
      </c>
      <c r="I278">
        <v>0</v>
      </c>
      <c r="J278" s="79">
        <v>51842994</v>
      </c>
    </row>
    <row r="279" spans="2:10" hidden="1">
      <c r="B279" t="s">
        <v>115</v>
      </c>
      <c r="C279">
        <v>6145350530</v>
      </c>
      <c r="D279" t="s">
        <v>455</v>
      </c>
      <c r="E279" t="s">
        <v>204</v>
      </c>
      <c r="F279">
        <v>0</v>
      </c>
      <c r="G279" s="79">
        <v>81446848</v>
      </c>
      <c r="H279" s="79">
        <v>14437503</v>
      </c>
      <c r="I279">
        <v>0</v>
      </c>
      <c r="J279" s="79">
        <v>95884351</v>
      </c>
    </row>
    <row r="280" spans="2:10" hidden="1">
      <c r="B280" t="s">
        <v>115</v>
      </c>
      <c r="C280">
        <v>6145350533</v>
      </c>
      <c r="D280" t="s">
        <v>456</v>
      </c>
      <c r="E280" t="s">
        <v>204</v>
      </c>
      <c r="F280">
        <v>0</v>
      </c>
      <c r="G280" s="79">
        <v>4757537</v>
      </c>
      <c r="H280" s="79">
        <v>1731851</v>
      </c>
      <c r="I280">
        <v>0</v>
      </c>
      <c r="J280" s="79">
        <v>6489388</v>
      </c>
    </row>
    <row r="281" spans="2:10" hidden="1">
      <c r="B281" t="s">
        <v>115</v>
      </c>
      <c r="C281">
        <v>6145350536</v>
      </c>
      <c r="D281" t="s">
        <v>457</v>
      </c>
      <c r="E281" t="s">
        <v>204</v>
      </c>
      <c r="F281">
        <v>0</v>
      </c>
      <c r="G281" s="79">
        <v>81446849</v>
      </c>
      <c r="H281" s="79">
        <v>14004070</v>
      </c>
      <c r="I281">
        <v>0</v>
      </c>
      <c r="J281" s="79">
        <v>95450919</v>
      </c>
    </row>
    <row r="282" spans="2:10" hidden="1">
      <c r="B282" t="s">
        <v>115</v>
      </c>
      <c r="C282">
        <v>6145350539</v>
      </c>
      <c r="D282" t="s">
        <v>458</v>
      </c>
      <c r="E282" t="s">
        <v>204</v>
      </c>
      <c r="F282">
        <v>0</v>
      </c>
      <c r="G282" s="79">
        <v>51234668</v>
      </c>
      <c r="H282" s="79">
        <v>7886226</v>
      </c>
      <c r="I282">
        <v>0</v>
      </c>
      <c r="J282" s="79">
        <v>59120894</v>
      </c>
    </row>
    <row r="283" spans="2:10" hidden="1">
      <c r="B283" t="s">
        <v>115</v>
      </c>
      <c r="C283">
        <v>6145350545</v>
      </c>
      <c r="D283" t="s">
        <v>459</v>
      </c>
      <c r="E283" t="s">
        <v>204</v>
      </c>
      <c r="F283">
        <v>0</v>
      </c>
      <c r="G283" s="79">
        <v>8460870</v>
      </c>
      <c r="H283">
        <v>0</v>
      </c>
      <c r="I283">
        <v>0</v>
      </c>
      <c r="J283" s="79">
        <v>8460870</v>
      </c>
    </row>
    <row r="284" spans="2:10" hidden="1">
      <c r="B284" t="s">
        <v>115</v>
      </c>
      <c r="C284">
        <v>6145350548</v>
      </c>
      <c r="D284" t="s">
        <v>460</v>
      </c>
      <c r="E284" t="s">
        <v>204</v>
      </c>
      <c r="F284">
        <v>0</v>
      </c>
      <c r="G284" s="79">
        <v>68024896</v>
      </c>
      <c r="H284" s="79">
        <v>14325831</v>
      </c>
      <c r="I284">
        <v>0</v>
      </c>
      <c r="J284" s="79">
        <v>82350727</v>
      </c>
    </row>
    <row r="285" spans="2:10" hidden="1">
      <c r="B285" t="s">
        <v>115</v>
      </c>
      <c r="C285">
        <v>6145350551</v>
      </c>
      <c r="D285" t="s">
        <v>461</v>
      </c>
      <c r="E285" t="s">
        <v>204</v>
      </c>
      <c r="F285">
        <v>0</v>
      </c>
      <c r="G285" s="79">
        <v>20257347</v>
      </c>
      <c r="H285" s="79">
        <v>1484364</v>
      </c>
      <c r="I285">
        <v>0</v>
      </c>
      <c r="J285" s="79">
        <v>21741711</v>
      </c>
    </row>
    <row r="286" spans="2:10" hidden="1">
      <c r="B286" t="s">
        <v>115</v>
      </c>
      <c r="C286">
        <v>6145350560</v>
      </c>
      <c r="D286" t="s">
        <v>462</v>
      </c>
      <c r="E286" t="s">
        <v>204</v>
      </c>
      <c r="F286">
        <v>0</v>
      </c>
      <c r="G286" s="79">
        <v>8306906</v>
      </c>
      <c r="H286">
        <v>0</v>
      </c>
      <c r="I286">
        <v>0</v>
      </c>
      <c r="J286" s="79">
        <v>8306906</v>
      </c>
    </row>
    <row r="287" spans="2:10" hidden="1">
      <c r="B287" t="s">
        <v>115</v>
      </c>
      <c r="C287">
        <v>6145350568</v>
      </c>
      <c r="D287" t="s">
        <v>463</v>
      </c>
      <c r="E287" t="s">
        <v>204</v>
      </c>
      <c r="F287">
        <v>0</v>
      </c>
      <c r="G287" s="79">
        <v>58113600</v>
      </c>
      <c r="H287" s="79">
        <v>8214200</v>
      </c>
      <c r="I287">
        <v>0</v>
      </c>
      <c r="J287" s="79">
        <v>66327800</v>
      </c>
    </row>
    <row r="288" spans="2:10" hidden="1">
      <c r="B288" t="s">
        <v>115</v>
      </c>
      <c r="C288">
        <v>6145350569</v>
      </c>
      <c r="D288" t="s">
        <v>464</v>
      </c>
      <c r="E288" t="s">
        <v>204</v>
      </c>
      <c r="F288">
        <v>0</v>
      </c>
      <c r="G288" s="79">
        <v>7390436</v>
      </c>
      <c r="H288" s="79">
        <v>407252</v>
      </c>
      <c r="I288">
        <v>0</v>
      </c>
      <c r="J288" s="79">
        <v>7797688</v>
      </c>
    </row>
    <row r="289" spans="2:10" hidden="1">
      <c r="B289" t="s">
        <v>115</v>
      </c>
      <c r="C289">
        <v>6145350570</v>
      </c>
      <c r="D289" t="s">
        <v>465</v>
      </c>
      <c r="E289" t="s">
        <v>204</v>
      </c>
      <c r="F289">
        <v>0</v>
      </c>
      <c r="G289" s="79">
        <v>126434398</v>
      </c>
      <c r="H289" s="79">
        <v>20064832</v>
      </c>
      <c r="I289">
        <v>0</v>
      </c>
      <c r="J289" s="79">
        <v>146499230</v>
      </c>
    </row>
    <row r="290" spans="2:10" hidden="1">
      <c r="B290" t="s">
        <v>115</v>
      </c>
      <c r="C290">
        <v>6145350572</v>
      </c>
      <c r="D290" t="s">
        <v>466</v>
      </c>
      <c r="E290" t="s">
        <v>204</v>
      </c>
      <c r="F290">
        <v>0</v>
      </c>
      <c r="G290" s="79">
        <v>37729600</v>
      </c>
      <c r="H290" s="79">
        <v>6676200</v>
      </c>
      <c r="I290">
        <v>0</v>
      </c>
      <c r="J290" s="79">
        <v>44405800</v>
      </c>
    </row>
    <row r="291" spans="2:10" hidden="1">
      <c r="B291" t="s">
        <v>115</v>
      </c>
      <c r="C291">
        <v>6145350575</v>
      </c>
      <c r="D291" t="s">
        <v>467</v>
      </c>
      <c r="E291" t="s">
        <v>204</v>
      </c>
      <c r="F291">
        <v>0</v>
      </c>
      <c r="G291" s="79">
        <v>157700</v>
      </c>
      <c r="H291">
        <v>0</v>
      </c>
      <c r="I291">
        <v>0</v>
      </c>
      <c r="J291" s="79">
        <v>157700</v>
      </c>
    </row>
    <row r="292" spans="2:10" hidden="1">
      <c r="B292" t="s">
        <v>115</v>
      </c>
      <c r="C292">
        <v>6145350578</v>
      </c>
      <c r="D292" t="s">
        <v>468</v>
      </c>
      <c r="E292" t="s">
        <v>204</v>
      </c>
      <c r="F292">
        <v>0</v>
      </c>
      <c r="G292" s="79">
        <v>105200</v>
      </c>
      <c r="H292">
        <v>0</v>
      </c>
      <c r="I292">
        <v>0</v>
      </c>
      <c r="J292" s="79">
        <v>105200</v>
      </c>
    </row>
    <row r="293" spans="2:10" hidden="1">
      <c r="B293" t="s">
        <v>115</v>
      </c>
      <c r="C293">
        <v>6145350584</v>
      </c>
      <c r="D293" t="s">
        <v>469</v>
      </c>
      <c r="E293" t="s">
        <v>204</v>
      </c>
      <c r="F293">
        <v>0</v>
      </c>
      <c r="G293" s="79">
        <v>2975490</v>
      </c>
      <c r="H293" s="79">
        <v>495915</v>
      </c>
      <c r="I293">
        <v>0</v>
      </c>
      <c r="J293" s="79">
        <v>3471405</v>
      </c>
    </row>
    <row r="294" spans="2:10" hidden="1">
      <c r="B294" t="s">
        <v>115</v>
      </c>
      <c r="C294">
        <v>6145350590</v>
      </c>
      <c r="D294" t="s">
        <v>470</v>
      </c>
      <c r="E294" t="s">
        <v>204</v>
      </c>
      <c r="F294">
        <v>0</v>
      </c>
      <c r="G294" s="79">
        <v>3306050</v>
      </c>
      <c r="H294" s="79">
        <v>641500</v>
      </c>
      <c r="I294">
        <v>0</v>
      </c>
      <c r="J294" s="79">
        <v>3947550</v>
      </c>
    </row>
    <row r="295" spans="2:10" hidden="1">
      <c r="B295" t="s">
        <v>115</v>
      </c>
      <c r="C295">
        <v>6145351015</v>
      </c>
      <c r="D295" t="s">
        <v>471</v>
      </c>
      <c r="E295" t="s">
        <v>204</v>
      </c>
      <c r="F295">
        <v>0</v>
      </c>
      <c r="G295" s="79">
        <v>8095989</v>
      </c>
      <c r="H295">
        <v>0</v>
      </c>
      <c r="I295">
        <v>0</v>
      </c>
      <c r="J295" s="79">
        <v>8095989</v>
      </c>
    </row>
    <row r="296" spans="2:10" hidden="1">
      <c r="B296" t="s">
        <v>115</v>
      </c>
      <c r="C296">
        <v>6145351035</v>
      </c>
      <c r="D296" t="s">
        <v>472</v>
      </c>
      <c r="E296" t="s">
        <v>204</v>
      </c>
      <c r="F296">
        <v>0</v>
      </c>
      <c r="G296" s="79">
        <v>56979024</v>
      </c>
      <c r="H296">
        <v>0</v>
      </c>
      <c r="I296">
        <v>0</v>
      </c>
      <c r="J296" s="79">
        <v>56979024</v>
      </c>
    </row>
    <row r="297" spans="2:10" hidden="1">
      <c r="B297" t="s">
        <v>115</v>
      </c>
      <c r="C297">
        <v>6145351095</v>
      </c>
      <c r="D297" t="s">
        <v>473</v>
      </c>
      <c r="E297" t="s">
        <v>204</v>
      </c>
      <c r="F297">
        <v>0</v>
      </c>
      <c r="G297" s="79">
        <v>13614696</v>
      </c>
      <c r="H297" s="79">
        <v>800000</v>
      </c>
      <c r="I297">
        <v>0</v>
      </c>
      <c r="J297" s="79">
        <v>14414696</v>
      </c>
    </row>
    <row r="298" spans="2:10" hidden="1">
      <c r="B298" t="s">
        <v>115</v>
      </c>
      <c r="C298">
        <v>6145352005</v>
      </c>
      <c r="D298" t="s">
        <v>474</v>
      </c>
      <c r="E298" t="s">
        <v>204</v>
      </c>
      <c r="F298">
        <v>0</v>
      </c>
      <c r="G298" s="79">
        <v>1290929743</v>
      </c>
      <c r="H298" s="79">
        <v>187950000</v>
      </c>
      <c r="I298" s="79">
        <v>300879</v>
      </c>
      <c r="J298" s="79">
        <v>1478578864</v>
      </c>
    </row>
    <row r="299" spans="2:10" hidden="1">
      <c r="B299" t="s">
        <v>115</v>
      </c>
      <c r="C299">
        <v>6145352015</v>
      </c>
      <c r="D299" t="s">
        <v>475</v>
      </c>
      <c r="E299" t="s">
        <v>204</v>
      </c>
      <c r="F299">
        <v>0</v>
      </c>
      <c r="G299" s="79">
        <v>776086</v>
      </c>
      <c r="H299">
        <v>0</v>
      </c>
      <c r="I299">
        <v>0</v>
      </c>
      <c r="J299" s="79">
        <v>776086</v>
      </c>
    </row>
    <row r="300" spans="2:10" hidden="1">
      <c r="B300" t="s">
        <v>115</v>
      </c>
      <c r="C300">
        <v>6145352020</v>
      </c>
      <c r="D300" t="s">
        <v>476</v>
      </c>
      <c r="E300" t="s">
        <v>204</v>
      </c>
      <c r="F300">
        <v>0</v>
      </c>
      <c r="G300" s="79">
        <v>2716302</v>
      </c>
      <c r="H300" s="79">
        <v>388043</v>
      </c>
      <c r="I300">
        <v>0</v>
      </c>
      <c r="J300" s="79">
        <v>3104345</v>
      </c>
    </row>
    <row r="301" spans="2:10" hidden="1">
      <c r="B301" t="s">
        <v>115</v>
      </c>
      <c r="C301">
        <v>6145352510</v>
      </c>
      <c r="D301" t="s">
        <v>477</v>
      </c>
      <c r="E301" t="s">
        <v>204</v>
      </c>
      <c r="F301">
        <v>0</v>
      </c>
      <c r="G301" s="79">
        <v>9988280</v>
      </c>
      <c r="H301">
        <v>0</v>
      </c>
      <c r="I301">
        <v>0</v>
      </c>
      <c r="J301" s="79">
        <v>9988280</v>
      </c>
    </row>
    <row r="302" spans="2:10" hidden="1">
      <c r="B302" t="s">
        <v>115</v>
      </c>
      <c r="C302">
        <v>6145353060</v>
      </c>
      <c r="D302" t="s">
        <v>478</v>
      </c>
      <c r="E302" t="s">
        <v>204</v>
      </c>
      <c r="F302">
        <v>0</v>
      </c>
      <c r="G302" s="79">
        <v>203925579</v>
      </c>
      <c r="H302" s="79">
        <v>33987597</v>
      </c>
      <c r="I302">
        <v>0</v>
      </c>
      <c r="J302" s="79">
        <v>237913176</v>
      </c>
    </row>
    <row r="303" spans="2:10" hidden="1">
      <c r="B303" t="s">
        <v>115</v>
      </c>
      <c r="C303">
        <v>6145353505</v>
      </c>
      <c r="D303" t="s">
        <v>479</v>
      </c>
      <c r="E303" t="s">
        <v>204</v>
      </c>
      <c r="F303">
        <v>0</v>
      </c>
      <c r="G303" s="79">
        <v>5759006</v>
      </c>
      <c r="H303" s="79">
        <v>360000</v>
      </c>
      <c r="I303" s="79">
        <v>7155</v>
      </c>
      <c r="J303" s="79">
        <v>6111851</v>
      </c>
    </row>
    <row r="304" spans="2:10" hidden="1">
      <c r="B304" t="s">
        <v>115</v>
      </c>
      <c r="C304">
        <v>6145353515</v>
      </c>
      <c r="D304" t="s">
        <v>480</v>
      </c>
      <c r="E304" t="s">
        <v>204</v>
      </c>
      <c r="F304">
        <v>0</v>
      </c>
      <c r="G304" s="79">
        <v>2944307</v>
      </c>
      <c r="H304">
        <v>0</v>
      </c>
      <c r="I304">
        <v>0</v>
      </c>
      <c r="J304" s="79">
        <v>2944307</v>
      </c>
    </row>
    <row r="305" spans="2:10" hidden="1">
      <c r="B305" t="s">
        <v>115</v>
      </c>
      <c r="C305">
        <v>6145353525</v>
      </c>
      <c r="D305" t="s">
        <v>481</v>
      </c>
      <c r="E305" t="s">
        <v>204</v>
      </c>
      <c r="F305">
        <v>0</v>
      </c>
      <c r="G305" s="79">
        <v>34678600</v>
      </c>
      <c r="H305">
        <v>0</v>
      </c>
      <c r="I305">
        <v>0</v>
      </c>
      <c r="J305" s="79">
        <v>34678600</v>
      </c>
    </row>
    <row r="306" spans="2:10" hidden="1">
      <c r="B306" t="s">
        <v>115</v>
      </c>
      <c r="C306">
        <v>6145353530</v>
      </c>
      <c r="D306" t="s">
        <v>482</v>
      </c>
      <c r="E306" t="s">
        <v>204</v>
      </c>
      <c r="F306">
        <v>0</v>
      </c>
      <c r="G306" s="79">
        <v>165871253</v>
      </c>
      <c r="H306" s="79">
        <v>27703228</v>
      </c>
      <c r="I306">
        <v>0</v>
      </c>
      <c r="J306" s="79">
        <v>193574481</v>
      </c>
    </row>
    <row r="307" spans="2:10" hidden="1">
      <c r="B307" t="s">
        <v>115</v>
      </c>
      <c r="C307">
        <v>6145353535</v>
      </c>
      <c r="D307" t="s">
        <v>483</v>
      </c>
      <c r="E307" t="s">
        <v>204</v>
      </c>
      <c r="F307">
        <v>0</v>
      </c>
      <c r="G307" s="79">
        <v>2350423</v>
      </c>
      <c r="H307" s="79">
        <v>225015</v>
      </c>
      <c r="I307">
        <v>0</v>
      </c>
      <c r="J307" s="79">
        <v>2575438</v>
      </c>
    </row>
    <row r="308" spans="2:10" hidden="1">
      <c r="B308" t="s">
        <v>115</v>
      </c>
      <c r="C308">
        <v>6145353555</v>
      </c>
      <c r="D308" t="s">
        <v>484</v>
      </c>
      <c r="E308" t="s">
        <v>204</v>
      </c>
      <c r="F308">
        <v>0</v>
      </c>
      <c r="G308" s="79">
        <v>768185604</v>
      </c>
      <c r="H308" s="79">
        <v>262861886</v>
      </c>
      <c r="I308" s="79">
        <v>87025938</v>
      </c>
      <c r="J308" s="79">
        <v>944021552</v>
      </c>
    </row>
    <row r="309" spans="2:10" hidden="1">
      <c r="B309" t="s">
        <v>115</v>
      </c>
      <c r="C309">
        <v>6145353595</v>
      </c>
      <c r="D309" t="s">
        <v>485</v>
      </c>
      <c r="E309" t="s">
        <v>204</v>
      </c>
      <c r="F309">
        <v>0</v>
      </c>
      <c r="G309" s="79">
        <v>50959210</v>
      </c>
      <c r="H309" s="79">
        <v>10945400</v>
      </c>
      <c r="I309">
        <v>0</v>
      </c>
      <c r="J309" s="79">
        <v>61904610</v>
      </c>
    </row>
    <row r="310" spans="2:10" hidden="1">
      <c r="B310" t="s">
        <v>115</v>
      </c>
      <c r="C310">
        <v>6145354015</v>
      </c>
      <c r="D310" t="s">
        <v>486</v>
      </c>
      <c r="E310" t="s">
        <v>204</v>
      </c>
      <c r="F310">
        <v>0</v>
      </c>
      <c r="G310" s="79">
        <v>89472</v>
      </c>
      <c r="H310" s="79">
        <v>89472</v>
      </c>
      <c r="I310">
        <v>0</v>
      </c>
      <c r="J310" s="79">
        <v>178944</v>
      </c>
    </row>
    <row r="311" spans="2:10" hidden="1">
      <c r="B311" t="s">
        <v>115</v>
      </c>
      <c r="C311">
        <v>6145354510</v>
      </c>
      <c r="D311" t="s">
        <v>487</v>
      </c>
      <c r="E311" t="s">
        <v>204</v>
      </c>
      <c r="F311">
        <v>0</v>
      </c>
      <c r="G311" s="79">
        <v>5301040</v>
      </c>
      <c r="H311">
        <v>0</v>
      </c>
      <c r="I311">
        <v>0</v>
      </c>
      <c r="J311" s="79">
        <v>5301040</v>
      </c>
    </row>
    <row r="312" spans="2:10" hidden="1">
      <c r="B312" t="s">
        <v>115</v>
      </c>
      <c r="C312">
        <v>6145354515</v>
      </c>
      <c r="D312" t="s">
        <v>488</v>
      </c>
      <c r="E312" t="s">
        <v>204</v>
      </c>
      <c r="F312">
        <v>0</v>
      </c>
      <c r="G312" s="79">
        <v>399312670</v>
      </c>
      <c r="H312" s="79">
        <v>55607853</v>
      </c>
      <c r="I312">
        <v>0</v>
      </c>
      <c r="J312" s="79">
        <v>454920523</v>
      </c>
    </row>
    <row r="313" spans="2:10" hidden="1">
      <c r="B313" t="s">
        <v>115</v>
      </c>
      <c r="C313">
        <v>6145354516</v>
      </c>
      <c r="D313" t="s">
        <v>488</v>
      </c>
      <c r="E313" t="s">
        <v>204</v>
      </c>
      <c r="F313">
        <v>0</v>
      </c>
      <c r="G313" s="79">
        <v>65767455</v>
      </c>
      <c r="H313" s="79">
        <v>10348240</v>
      </c>
      <c r="I313">
        <v>0</v>
      </c>
      <c r="J313" s="79">
        <v>76115695</v>
      </c>
    </row>
    <row r="314" spans="2:10" hidden="1">
      <c r="B314" t="s">
        <v>115</v>
      </c>
      <c r="C314">
        <v>6145354520</v>
      </c>
      <c r="D314" t="s">
        <v>489</v>
      </c>
      <c r="E314" t="s">
        <v>204</v>
      </c>
      <c r="F314">
        <v>0</v>
      </c>
      <c r="G314" s="79">
        <v>293000</v>
      </c>
      <c r="H314">
        <v>0</v>
      </c>
      <c r="I314">
        <v>0</v>
      </c>
      <c r="J314" s="79">
        <v>293000</v>
      </c>
    </row>
    <row r="315" spans="2:10" hidden="1">
      <c r="B315" t="s">
        <v>115</v>
      </c>
      <c r="C315">
        <v>6145354525</v>
      </c>
      <c r="D315" t="s">
        <v>490</v>
      </c>
      <c r="E315" t="s">
        <v>204</v>
      </c>
      <c r="F315">
        <v>0</v>
      </c>
      <c r="G315" s="79">
        <v>2069734</v>
      </c>
      <c r="H315" s="79">
        <v>71399</v>
      </c>
      <c r="I315">
        <v>0</v>
      </c>
      <c r="J315" s="79">
        <v>2141133</v>
      </c>
    </row>
    <row r="316" spans="2:10" hidden="1">
      <c r="B316" t="s">
        <v>115</v>
      </c>
      <c r="C316">
        <v>6145354540</v>
      </c>
      <c r="D316" t="s">
        <v>491</v>
      </c>
      <c r="E316" t="s">
        <v>204</v>
      </c>
      <c r="F316">
        <v>0</v>
      </c>
      <c r="G316" s="79">
        <v>2426886</v>
      </c>
      <c r="H316">
        <v>0</v>
      </c>
      <c r="I316">
        <v>0</v>
      </c>
      <c r="J316" s="79">
        <v>2426886</v>
      </c>
    </row>
    <row r="317" spans="2:10" hidden="1">
      <c r="B317" t="s">
        <v>115</v>
      </c>
      <c r="C317">
        <v>6145354541</v>
      </c>
      <c r="D317" t="s">
        <v>491</v>
      </c>
      <c r="E317" t="s">
        <v>204</v>
      </c>
      <c r="F317">
        <v>0</v>
      </c>
      <c r="G317" s="79">
        <v>3149107</v>
      </c>
      <c r="H317">
        <v>0</v>
      </c>
      <c r="I317">
        <v>0</v>
      </c>
      <c r="J317" s="79">
        <v>3149107</v>
      </c>
    </row>
    <row r="318" spans="2:10" hidden="1">
      <c r="B318" t="s">
        <v>115</v>
      </c>
      <c r="C318">
        <v>6145355005</v>
      </c>
      <c r="D318" t="s">
        <v>492</v>
      </c>
      <c r="E318" t="s">
        <v>204</v>
      </c>
      <c r="F318">
        <v>0</v>
      </c>
      <c r="G318" s="79">
        <v>527360</v>
      </c>
      <c r="H318">
        <v>0</v>
      </c>
      <c r="I318">
        <v>0</v>
      </c>
      <c r="J318" s="79">
        <v>527360</v>
      </c>
    </row>
    <row r="319" spans="2:10" hidden="1">
      <c r="B319" t="s">
        <v>115</v>
      </c>
      <c r="C319">
        <v>6145355015</v>
      </c>
      <c r="D319" t="s">
        <v>493</v>
      </c>
      <c r="E319" t="s">
        <v>204</v>
      </c>
      <c r="F319">
        <v>0</v>
      </c>
      <c r="G319" s="79">
        <v>8131350</v>
      </c>
      <c r="H319" s="79">
        <v>167600</v>
      </c>
      <c r="I319">
        <v>0</v>
      </c>
      <c r="J319" s="79">
        <v>8298950</v>
      </c>
    </row>
    <row r="320" spans="2:10" hidden="1">
      <c r="B320" t="s">
        <v>115</v>
      </c>
      <c r="C320">
        <v>6145355095</v>
      </c>
      <c r="D320" t="s">
        <v>494</v>
      </c>
      <c r="E320" t="s">
        <v>204</v>
      </c>
      <c r="F320">
        <v>0</v>
      </c>
      <c r="G320" s="79">
        <v>618800</v>
      </c>
      <c r="H320">
        <v>0</v>
      </c>
      <c r="I320">
        <v>0</v>
      </c>
      <c r="J320" s="79">
        <v>618800</v>
      </c>
    </row>
    <row r="321" spans="2:10" hidden="1">
      <c r="B321" t="s">
        <v>115</v>
      </c>
      <c r="C321">
        <v>6145355521</v>
      </c>
      <c r="D321" t="s">
        <v>495</v>
      </c>
      <c r="E321" t="s">
        <v>204</v>
      </c>
      <c r="F321">
        <v>0</v>
      </c>
      <c r="G321" s="79">
        <v>4126686</v>
      </c>
      <c r="H321" s="79">
        <v>466666</v>
      </c>
      <c r="I321">
        <v>0</v>
      </c>
      <c r="J321" s="79">
        <v>4593352</v>
      </c>
    </row>
    <row r="322" spans="2:10" hidden="1">
      <c r="B322" t="s">
        <v>115</v>
      </c>
      <c r="C322">
        <v>6145356005</v>
      </c>
      <c r="D322" t="s">
        <v>496</v>
      </c>
      <c r="E322" t="s">
        <v>204</v>
      </c>
      <c r="F322">
        <v>0</v>
      </c>
      <c r="G322" s="79">
        <v>46656013</v>
      </c>
      <c r="H322" s="79">
        <v>7776002</v>
      </c>
      <c r="I322">
        <v>0</v>
      </c>
      <c r="J322" s="79">
        <v>54432015</v>
      </c>
    </row>
    <row r="323" spans="2:10" hidden="1">
      <c r="B323" t="s">
        <v>115</v>
      </c>
      <c r="C323">
        <v>6145356010</v>
      </c>
      <c r="D323" t="s">
        <v>497</v>
      </c>
      <c r="E323" t="s">
        <v>204</v>
      </c>
      <c r="F323">
        <v>0</v>
      </c>
      <c r="G323" s="79">
        <v>209127104</v>
      </c>
      <c r="H323" s="79">
        <v>35285837</v>
      </c>
      <c r="I323">
        <v>0</v>
      </c>
      <c r="J323" s="79">
        <v>244412941</v>
      </c>
    </row>
    <row r="324" spans="2:10" hidden="1">
      <c r="B324" t="s">
        <v>115</v>
      </c>
      <c r="C324">
        <v>6145356015</v>
      </c>
      <c r="D324" t="s">
        <v>498</v>
      </c>
      <c r="E324" t="s">
        <v>204</v>
      </c>
      <c r="F324">
        <v>0</v>
      </c>
      <c r="G324" s="79">
        <v>1941435</v>
      </c>
      <c r="H324" s="79">
        <v>287554</v>
      </c>
      <c r="I324">
        <v>0</v>
      </c>
      <c r="J324" s="79">
        <v>2228989</v>
      </c>
    </row>
    <row r="325" spans="2:10" hidden="1">
      <c r="B325" t="s">
        <v>115</v>
      </c>
      <c r="C325">
        <v>6145356020</v>
      </c>
      <c r="D325" t="s">
        <v>499</v>
      </c>
      <c r="E325" t="s">
        <v>204</v>
      </c>
      <c r="F325">
        <v>0</v>
      </c>
      <c r="G325" s="79">
        <v>9040949</v>
      </c>
      <c r="H325" s="79">
        <v>1506154</v>
      </c>
      <c r="I325">
        <v>0</v>
      </c>
      <c r="J325" s="79">
        <v>10547103</v>
      </c>
    </row>
    <row r="326" spans="2:10" hidden="1">
      <c r="B326" t="s">
        <v>115</v>
      </c>
      <c r="C326">
        <v>6145356035</v>
      </c>
      <c r="D326" t="s">
        <v>500</v>
      </c>
      <c r="E326" t="s">
        <v>204</v>
      </c>
      <c r="F326">
        <v>0</v>
      </c>
      <c r="G326" s="79">
        <v>75439833</v>
      </c>
      <c r="H326" s="79">
        <v>12306666</v>
      </c>
      <c r="I326">
        <v>0</v>
      </c>
      <c r="J326" s="79">
        <v>87746499</v>
      </c>
    </row>
    <row r="327" spans="2:10" hidden="1">
      <c r="B327" t="s">
        <v>115</v>
      </c>
      <c r="C327">
        <v>6145356040</v>
      </c>
      <c r="D327" t="s">
        <v>500</v>
      </c>
      <c r="E327" t="s">
        <v>204</v>
      </c>
      <c r="F327">
        <v>0</v>
      </c>
      <c r="G327" s="79">
        <v>2682734</v>
      </c>
      <c r="H327" s="79">
        <v>447122</v>
      </c>
      <c r="I327">
        <v>0</v>
      </c>
      <c r="J327" s="79">
        <v>3129856</v>
      </c>
    </row>
    <row r="328" spans="2:10" hidden="1">
      <c r="B328" t="s">
        <v>115</v>
      </c>
      <c r="C328">
        <v>6145356060</v>
      </c>
      <c r="D328" t="s">
        <v>501</v>
      </c>
      <c r="E328" t="s">
        <v>204</v>
      </c>
      <c r="F328">
        <v>0</v>
      </c>
      <c r="G328" s="79">
        <v>5192671</v>
      </c>
      <c r="H328" s="79">
        <v>865446</v>
      </c>
      <c r="I328">
        <v>0</v>
      </c>
      <c r="J328" s="79">
        <v>6058117</v>
      </c>
    </row>
    <row r="329" spans="2:10" hidden="1">
      <c r="B329" t="s">
        <v>115</v>
      </c>
      <c r="C329">
        <v>6145356515</v>
      </c>
      <c r="D329" t="s">
        <v>502</v>
      </c>
      <c r="E329" t="s">
        <v>204</v>
      </c>
      <c r="F329">
        <v>0</v>
      </c>
      <c r="G329" s="79">
        <v>99212326</v>
      </c>
      <c r="H329" s="79">
        <v>21981979</v>
      </c>
      <c r="I329">
        <v>0</v>
      </c>
      <c r="J329" s="79">
        <v>121194305</v>
      </c>
    </row>
    <row r="330" spans="2:10" hidden="1">
      <c r="B330" t="s">
        <v>115</v>
      </c>
      <c r="C330">
        <v>6145359505</v>
      </c>
      <c r="D330" t="s">
        <v>503</v>
      </c>
      <c r="E330" t="s">
        <v>204</v>
      </c>
      <c r="F330">
        <v>0</v>
      </c>
      <c r="G330" s="79">
        <v>963067</v>
      </c>
      <c r="H330">
        <v>0</v>
      </c>
      <c r="I330">
        <v>0</v>
      </c>
      <c r="J330" s="79">
        <v>963067</v>
      </c>
    </row>
    <row r="331" spans="2:10" hidden="1">
      <c r="B331" t="s">
        <v>115</v>
      </c>
      <c r="C331">
        <v>6145359525</v>
      </c>
      <c r="D331" t="s">
        <v>504</v>
      </c>
      <c r="E331" t="s">
        <v>204</v>
      </c>
      <c r="F331">
        <v>0</v>
      </c>
      <c r="G331" s="79">
        <v>40882515</v>
      </c>
      <c r="H331" s="79">
        <v>4029153</v>
      </c>
      <c r="I331">
        <v>0</v>
      </c>
      <c r="J331" s="79">
        <v>44911668</v>
      </c>
    </row>
    <row r="332" spans="2:10" hidden="1">
      <c r="B332" t="s">
        <v>115</v>
      </c>
      <c r="C332">
        <v>6145359530</v>
      </c>
      <c r="D332" t="s">
        <v>505</v>
      </c>
      <c r="E332" t="s">
        <v>204</v>
      </c>
      <c r="F332">
        <v>0</v>
      </c>
      <c r="G332" s="79">
        <v>2662890</v>
      </c>
      <c r="H332" s="79">
        <v>550750</v>
      </c>
      <c r="I332">
        <v>0</v>
      </c>
      <c r="J332" s="79">
        <v>3213640</v>
      </c>
    </row>
    <row r="333" spans="2:10" hidden="1">
      <c r="B333" t="s">
        <v>115</v>
      </c>
      <c r="C333">
        <v>6145359535</v>
      </c>
      <c r="D333" t="s">
        <v>506</v>
      </c>
      <c r="E333" t="s">
        <v>204</v>
      </c>
      <c r="F333">
        <v>0</v>
      </c>
      <c r="G333" s="79">
        <v>6732903</v>
      </c>
      <c r="H333" s="79">
        <v>1483680</v>
      </c>
      <c r="I333" s="79">
        <v>25180</v>
      </c>
      <c r="J333" s="79">
        <v>8191403</v>
      </c>
    </row>
    <row r="334" spans="2:10" hidden="1">
      <c r="B334" t="s">
        <v>115</v>
      </c>
      <c r="C334">
        <v>6145359545</v>
      </c>
      <c r="D334" t="s">
        <v>507</v>
      </c>
      <c r="E334" t="s">
        <v>204</v>
      </c>
      <c r="F334">
        <v>0</v>
      </c>
      <c r="G334" s="79">
        <v>8054699</v>
      </c>
      <c r="H334" s="79">
        <v>1568828</v>
      </c>
      <c r="I334">
        <v>0</v>
      </c>
      <c r="J334" s="79">
        <v>9623527</v>
      </c>
    </row>
    <row r="335" spans="2:10" hidden="1">
      <c r="B335" t="s">
        <v>115</v>
      </c>
      <c r="C335">
        <v>6145359560</v>
      </c>
      <c r="D335" t="s">
        <v>508</v>
      </c>
      <c r="E335" t="s">
        <v>204</v>
      </c>
      <c r="F335">
        <v>0</v>
      </c>
      <c r="G335" s="79">
        <v>88970187</v>
      </c>
      <c r="H335" s="79">
        <v>15771767</v>
      </c>
      <c r="I335" s="79">
        <v>4830500</v>
      </c>
      <c r="J335" s="79">
        <v>99911454</v>
      </c>
    </row>
    <row r="336" spans="2:10" hidden="1">
      <c r="B336" t="s">
        <v>115</v>
      </c>
      <c r="C336">
        <v>6145359565</v>
      </c>
      <c r="D336" t="s">
        <v>509</v>
      </c>
      <c r="E336" t="s">
        <v>204</v>
      </c>
      <c r="F336">
        <v>0</v>
      </c>
      <c r="G336" s="79">
        <v>151000</v>
      </c>
      <c r="H336" s="79">
        <v>30000</v>
      </c>
      <c r="I336">
        <v>0</v>
      </c>
      <c r="J336" s="79">
        <v>181000</v>
      </c>
    </row>
    <row r="337" spans="2:10" hidden="1">
      <c r="B337" t="s">
        <v>115</v>
      </c>
      <c r="C337">
        <v>6145359572</v>
      </c>
      <c r="D337" t="s">
        <v>510</v>
      </c>
      <c r="E337" t="s">
        <v>204</v>
      </c>
      <c r="F337">
        <v>0</v>
      </c>
      <c r="G337">
        <v>0</v>
      </c>
      <c r="H337" s="79">
        <v>69200</v>
      </c>
      <c r="I337">
        <v>0</v>
      </c>
      <c r="J337" s="79">
        <v>69200</v>
      </c>
    </row>
    <row r="338" spans="2:10" hidden="1">
      <c r="B338" t="s">
        <v>115</v>
      </c>
      <c r="C338">
        <v>6145359580</v>
      </c>
      <c r="D338" t="s">
        <v>511</v>
      </c>
      <c r="E338" t="s">
        <v>204</v>
      </c>
      <c r="F338">
        <v>0</v>
      </c>
      <c r="G338" s="79">
        <v>172800</v>
      </c>
      <c r="H338">
        <v>0</v>
      </c>
      <c r="I338">
        <v>0</v>
      </c>
      <c r="J338" s="79">
        <v>172800</v>
      </c>
    </row>
    <row r="339" spans="2:10" hidden="1">
      <c r="B339" t="s">
        <v>115</v>
      </c>
      <c r="C339">
        <v>6145359581</v>
      </c>
      <c r="D339" t="s">
        <v>512</v>
      </c>
      <c r="E339" t="s">
        <v>204</v>
      </c>
      <c r="F339">
        <v>0</v>
      </c>
      <c r="G339" s="79">
        <v>22659761</v>
      </c>
      <c r="H339" s="79">
        <v>1904164</v>
      </c>
      <c r="I339">
        <v>0</v>
      </c>
      <c r="J339" s="79">
        <v>24563925</v>
      </c>
    </row>
    <row r="340" spans="2:10" hidden="1">
      <c r="B340" t="s">
        <v>115</v>
      </c>
      <c r="C340">
        <v>6145359582</v>
      </c>
      <c r="D340" t="s">
        <v>513</v>
      </c>
      <c r="E340" t="s">
        <v>204</v>
      </c>
      <c r="F340">
        <v>0</v>
      </c>
      <c r="G340" s="79">
        <v>8508701</v>
      </c>
      <c r="H340" s="79">
        <v>3383320</v>
      </c>
      <c r="I340">
        <v>0</v>
      </c>
      <c r="J340" s="79">
        <v>11892021</v>
      </c>
    </row>
    <row r="341" spans="2:10" hidden="1">
      <c r="B341" t="s">
        <v>115</v>
      </c>
      <c r="C341">
        <v>6145359595</v>
      </c>
      <c r="D341" t="s">
        <v>514</v>
      </c>
      <c r="E341" t="s">
        <v>204</v>
      </c>
      <c r="F341">
        <v>0</v>
      </c>
      <c r="G341" s="79">
        <v>10679264</v>
      </c>
      <c r="H341" s="79">
        <v>8361549</v>
      </c>
      <c r="I341">
        <v>0</v>
      </c>
      <c r="J341" s="79">
        <v>19040813</v>
      </c>
    </row>
    <row r="342" spans="2:10" hidden="1">
      <c r="B342" t="s">
        <v>115</v>
      </c>
      <c r="C342">
        <v>7800000001</v>
      </c>
      <c r="D342" t="s">
        <v>515</v>
      </c>
      <c r="E342" t="s">
        <v>204</v>
      </c>
      <c r="F342">
        <v>0</v>
      </c>
      <c r="G342" s="79">
        <v>929373</v>
      </c>
      <c r="H342">
        <v>0</v>
      </c>
      <c r="I342">
        <v>0</v>
      </c>
      <c r="J342" s="79">
        <v>929373</v>
      </c>
    </row>
    <row r="343" spans="2:10" hidden="1">
      <c r="B343" t="s">
        <v>115</v>
      </c>
      <c r="C343">
        <v>7800000002</v>
      </c>
      <c r="D343" t="s">
        <v>516</v>
      </c>
      <c r="E343" t="s">
        <v>204</v>
      </c>
      <c r="F343">
        <v>0</v>
      </c>
      <c r="G343" s="79">
        <v>430776100</v>
      </c>
      <c r="H343">
        <v>0</v>
      </c>
      <c r="I343">
        <v>0</v>
      </c>
      <c r="J343" s="79">
        <v>430776100</v>
      </c>
    </row>
    <row r="344" spans="2:10" hidden="1">
      <c r="B344" t="s">
        <v>115</v>
      </c>
      <c r="C344">
        <v>7800000099</v>
      </c>
      <c r="D344" t="s">
        <v>515</v>
      </c>
      <c r="E344" t="s">
        <v>204</v>
      </c>
      <c r="F344">
        <v>0</v>
      </c>
      <c r="G344" s="79">
        <v>-431705473</v>
      </c>
      <c r="H344">
        <v>0</v>
      </c>
      <c r="I344">
        <v>0</v>
      </c>
      <c r="J344" s="79">
        <v>-431705473</v>
      </c>
    </row>
    <row r="345" spans="2:10" hidden="1">
      <c r="B345" t="s">
        <v>115</v>
      </c>
      <c r="C345">
        <v>9115150001</v>
      </c>
      <c r="D345" t="s">
        <v>517</v>
      </c>
      <c r="E345" t="s">
        <v>204</v>
      </c>
      <c r="F345" s="79">
        <v>-5467651076</v>
      </c>
      <c r="G345">
        <v>0</v>
      </c>
      <c r="H345">
        <v>0</v>
      </c>
      <c r="I345">
        <v>0</v>
      </c>
      <c r="J345" s="79">
        <v>-5467651076</v>
      </c>
    </row>
    <row r="346" spans="2:10" hidden="1">
      <c r="B346" t="s">
        <v>115</v>
      </c>
      <c r="C346">
        <v>9415150002</v>
      </c>
      <c r="D346" t="s">
        <v>517</v>
      </c>
      <c r="E346" t="s">
        <v>204</v>
      </c>
      <c r="F346" s="79">
        <v>5467651076</v>
      </c>
      <c r="G346">
        <v>0</v>
      </c>
      <c r="H346">
        <v>0</v>
      </c>
      <c r="I346">
        <v>0</v>
      </c>
      <c r="J346" s="79">
        <v>5467651076</v>
      </c>
    </row>
    <row r="347" spans="2:10" hidden="1">
      <c r="B347" t="s">
        <v>115</v>
      </c>
      <c r="C347">
        <v>9999999910</v>
      </c>
      <c r="D347" t="s">
        <v>518</v>
      </c>
      <c r="E347" t="s">
        <v>204</v>
      </c>
      <c r="F347">
        <v>0</v>
      </c>
      <c r="G347">
        <v>0</v>
      </c>
      <c r="H347" s="79">
        <v>100255871</v>
      </c>
      <c r="I347" s="79">
        <v>100255871</v>
      </c>
      <c r="J347">
        <v>0</v>
      </c>
    </row>
    <row r="348" spans="2:10" hidden="1">
      <c r="B348" t="s">
        <v>115</v>
      </c>
      <c r="E348" t="s">
        <v>204</v>
      </c>
      <c r="F348">
        <v>0</v>
      </c>
      <c r="G348">
        <v>0</v>
      </c>
      <c r="H348" s="79">
        <v>51919018897</v>
      </c>
      <c r="I348" s="79">
        <v>51919018897</v>
      </c>
      <c r="J348">
        <v>0</v>
      </c>
    </row>
    <row r="349" spans="2:10">
      <c r="H349" s="80">
        <f>SUBTOTAL(9,H116:H348)</f>
        <v>0</v>
      </c>
      <c r="I349" s="80">
        <f>SUBTOTAL(9,I116:I348)</f>
        <v>474561</v>
      </c>
      <c r="J349" s="80">
        <f>I349-H349</f>
        <v>474561</v>
      </c>
    </row>
  </sheetData>
  <autoFilter ref="B4:J348" xr:uid="{0633175D-E9B3-46A7-9FED-5907421FF16E}">
    <filterColumn colId="1">
      <filters>
        <filter val="2368010002"/>
        <filter val="2368010005"/>
        <filter val="2368010007"/>
        <filter val="2368010008"/>
        <filter val="2368010010"/>
        <filter val="2368010090"/>
      </filters>
    </filterColumn>
  </autoFilter>
  <mergeCells count="3">
    <mergeCell ref="B1:J1"/>
    <mergeCell ref="B2:J2"/>
    <mergeCell ref="B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6772-826C-4229-8AB4-2FF434DA02D4}">
  <sheetPr>
    <tabColor rgb="FF00B0F0"/>
  </sheetPr>
  <dimension ref="B3:O21"/>
  <sheetViews>
    <sheetView workbookViewId="0">
      <selection activeCell="B6" sqref="B6:O19"/>
    </sheetView>
  </sheetViews>
  <sheetFormatPr baseColWidth="10" defaultRowHeight="14.6"/>
  <cols>
    <col min="1" max="1" width="5.84375" customWidth="1"/>
    <col min="2" max="2" width="11" bestFit="1" customWidth="1"/>
    <col min="3" max="3" width="19" bestFit="1" customWidth="1"/>
    <col min="4" max="4" width="10.07421875" bestFit="1" customWidth="1"/>
    <col min="5" max="5" width="31" bestFit="1" customWidth="1"/>
    <col min="6" max="6" width="10.07421875" hidden="1" customWidth="1"/>
    <col min="7" max="7" width="10.07421875" bestFit="1" customWidth="1"/>
    <col min="8" max="8" width="9.84375" bestFit="1" customWidth="1"/>
    <col min="9" max="9" width="12.69140625" customWidth="1"/>
    <col min="10" max="10" width="7.53515625" hidden="1" customWidth="1"/>
    <col min="11" max="11" width="3.53515625" bestFit="1" customWidth="1"/>
    <col min="12" max="12" width="11" bestFit="1" customWidth="1"/>
    <col min="13" max="13" width="42.3046875" bestFit="1" customWidth="1"/>
    <col min="14" max="14" width="8.4609375" bestFit="1" customWidth="1"/>
    <col min="15" max="15" width="5.3046875" bestFit="1" customWidth="1"/>
  </cols>
  <sheetData>
    <row r="3" spans="2:15">
      <c r="B3" s="275" t="s">
        <v>94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</row>
    <row r="4" spans="2:15">
      <c r="B4" s="275" t="s">
        <v>95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</row>
    <row r="5" spans="2:15">
      <c r="B5" s="275" t="s">
        <v>96</v>
      </c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</row>
    <row r="6" spans="2:15" s="37" customFormat="1" ht="43.75">
      <c r="B6" s="78" t="s">
        <v>17</v>
      </c>
      <c r="C6" s="78" t="s">
        <v>97</v>
      </c>
      <c r="D6" s="78" t="s">
        <v>98</v>
      </c>
      <c r="E6" s="78" t="s">
        <v>14</v>
      </c>
      <c r="F6" s="78" t="s">
        <v>99</v>
      </c>
      <c r="G6" s="78" t="s">
        <v>100</v>
      </c>
      <c r="H6" s="78" t="s">
        <v>101</v>
      </c>
      <c r="I6" s="78" t="s">
        <v>102</v>
      </c>
      <c r="J6" s="78" t="s">
        <v>103</v>
      </c>
      <c r="K6" s="78" t="s">
        <v>104</v>
      </c>
      <c r="L6" s="78" t="s">
        <v>105</v>
      </c>
      <c r="M6" s="78" t="s">
        <v>106</v>
      </c>
      <c r="N6" s="78" t="s">
        <v>107</v>
      </c>
      <c r="O6" s="78" t="s">
        <v>108</v>
      </c>
    </row>
    <row r="7" spans="2:15">
      <c r="B7">
        <v>2368010007</v>
      </c>
      <c r="C7" t="s">
        <v>109</v>
      </c>
      <c r="D7">
        <v>901670478</v>
      </c>
      <c r="E7" t="s">
        <v>110</v>
      </c>
      <c r="F7" t="s">
        <v>111</v>
      </c>
      <c r="G7" t="s">
        <v>111</v>
      </c>
      <c r="H7" s="67" t="s">
        <v>112</v>
      </c>
      <c r="I7" s="79">
        <v>-35000</v>
      </c>
      <c r="J7">
        <v>7</v>
      </c>
      <c r="K7" t="s">
        <v>113</v>
      </c>
      <c r="L7">
        <v>5100013869</v>
      </c>
      <c r="M7" t="s">
        <v>114</v>
      </c>
      <c r="N7">
        <v>-10.17</v>
      </c>
      <c r="O7" t="s">
        <v>115</v>
      </c>
    </row>
    <row r="8" spans="2:15">
      <c r="B8">
        <v>2368010007</v>
      </c>
      <c r="C8" t="s">
        <v>109</v>
      </c>
      <c r="D8">
        <v>900392924</v>
      </c>
      <c r="E8" t="s">
        <v>116</v>
      </c>
      <c r="F8" t="s">
        <v>117</v>
      </c>
      <c r="G8" t="s">
        <v>118</v>
      </c>
      <c r="H8" s="67" t="s">
        <v>119</v>
      </c>
      <c r="I8" s="79">
        <v>-1318</v>
      </c>
      <c r="J8">
        <v>7</v>
      </c>
      <c r="K8" t="s">
        <v>113</v>
      </c>
      <c r="L8">
        <v>5100013882</v>
      </c>
      <c r="M8" t="s">
        <v>120</v>
      </c>
      <c r="N8">
        <v>-0.4</v>
      </c>
      <c r="O8" t="s">
        <v>115</v>
      </c>
    </row>
    <row r="9" spans="2:15">
      <c r="B9">
        <v>2368010010</v>
      </c>
      <c r="C9" t="s">
        <v>121</v>
      </c>
      <c r="D9">
        <v>811033997</v>
      </c>
      <c r="E9" t="s">
        <v>122</v>
      </c>
      <c r="F9" t="s">
        <v>123</v>
      </c>
      <c r="G9" t="s">
        <v>124</v>
      </c>
      <c r="H9" s="67" t="s">
        <v>125</v>
      </c>
      <c r="I9" s="79">
        <v>-11970</v>
      </c>
      <c r="J9">
        <v>7</v>
      </c>
      <c r="K9" t="s">
        <v>113</v>
      </c>
      <c r="L9">
        <v>5100013930</v>
      </c>
      <c r="M9" t="s">
        <v>126</v>
      </c>
      <c r="N9">
        <v>-3.73</v>
      </c>
      <c r="O9" t="s">
        <v>115</v>
      </c>
    </row>
    <row r="10" spans="2:15">
      <c r="B10">
        <v>2368010010</v>
      </c>
      <c r="C10" t="s">
        <v>121</v>
      </c>
      <c r="D10">
        <v>830028245</v>
      </c>
      <c r="E10" t="s">
        <v>127</v>
      </c>
      <c r="F10" t="s">
        <v>128</v>
      </c>
      <c r="G10" t="s">
        <v>117</v>
      </c>
      <c r="H10" s="67" t="s">
        <v>129</v>
      </c>
      <c r="I10" s="79">
        <v>-11156</v>
      </c>
      <c r="J10">
        <v>7</v>
      </c>
      <c r="K10" t="s">
        <v>113</v>
      </c>
      <c r="L10">
        <v>5100013868</v>
      </c>
      <c r="M10" t="s">
        <v>130</v>
      </c>
      <c r="N10">
        <v>-3.38</v>
      </c>
      <c r="O10" t="s">
        <v>115</v>
      </c>
    </row>
    <row r="11" spans="2:15">
      <c r="B11">
        <v>2368010010</v>
      </c>
      <c r="C11" t="s">
        <v>121</v>
      </c>
      <c r="D11">
        <v>811033997</v>
      </c>
      <c r="E11" t="s">
        <v>122</v>
      </c>
      <c r="F11" t="s">
        <v>131</v>
      </c>
      <c r="G11" t="s">
        <v>124</v>
      </c>
      <c r="H11" s="67" t="s">
        <v>132</v>
      </c>
      <c r="I11" s="79">
        <v>-25460</v>
      </c>
      <c r="J11">
        <v>7</v>
      </c>
      <c r="K11" t="s">
        <v>113</v>
      </c>
      <c r="L11">
        <v>5100013927</v>
      </c>
      <c r="M11" t="s">
        <v>133</v>
      </c>
      <c r="N11">
        <v>-7.94</v>
      </c>
      <c r="O11" t="s">
        <v>115</v>
      </c>
    </row>
    <row r="12" spans="2:15">
      <c r="B12">
        <v>2368010010</v>
      </c>
      <c r="C12" t="s">
        <v>121</v>
      </c>
      <c r="D12">
        <v>800193573</v>
      </c>
      <c r="E12" t="s">
        <v>134</v>
      </c>
      <c r="F12" t="s">
        <v>135</v>
      </c>
      <c r="G12" t="s">
        <v>136</v>
      </c>
      <c r="H12" s="67">
        <v>250528</v>
      </c>
      <c r="I12" s="79">
        <v>-13542</v>
      </c>
      <c r="J12">
        <v>7</v>
      </c>
      <c r="K12" t="s">
        <v>113</v>
      </c>
      <c r="L12">
        <v>5100013902</v>
      </c>
      <c r="M12" t="s">
        <v>137</v>
      </c>
      <c r="N12">
        <v>-4.32</v>
      </c>
      <c r="O12" t="s">
        <v>115</v>
      </c>
    </row>
    <row r="13" spans="2:15">
      <c r="B13">
        <v>2368010010</v>
      </c>
      <c r="C13" t="s">
        <v>121</v>
      </c>
      <c r="D13">
        <v>800193573</v>
      </c>
      <c r="E13" t="s">
        <v>134</v>
      </c>
      <c r="F13" t="s">
        <v>135</v>
      </c>
      <c r="G13" t="s">
        <v>136</v>
      </c>
      <c r="H13" s="67">
        <v>250529</v>
      </c>
      <c r="I13" s="79">
        <v>-3564</v>
      </c>
      <c r="J13">
        <v>7</v>
      </c>
      <c r="K13" t="s">
        <v>113</v>
      </c>
      <c r="L13">
        <v>5100013903</v>
      </c>
      <c r="M13" t="s">
        <v>137</v>
      </c>
      <c r="N13">
        <v>-1.1399999999999999</v>
      </c>
      <c r="O13" t="s">
        <v>115</v>
      </c>
    </row>
    <row r="14" spans="2:15">
      <c r="B14">
        <v>2368010010</v>
      </c>
      <c r="C14" t="s">
        <v>121</v>
      </c>
      <c r="D14">
        <v>800193573</v>
      </c>
      <c r="E14" t="s">
        <v>134</v>
      </c>
      <c r="F14" t="s">
        <v>135</v>
      </c>
      <c r="G14" t="s">
        <v>136</v>
      </c>
      <c r="H14" s="67">
        <v>250530</v>
      </c>
      <c r="I14" s="79">
        <v>-18296</v>
      </c>
      <c r="J14">
        <v>7</v>
      </c>
      <c r="K14" t="s">
        <v>113</v>
      </c>
      <c r="L14">
        <v>5100013904</v>
      </c>
      <c r="M14" t="s">
        <v>137</v>
      </c>
      <c r="N14">
        <v>-5.84</v>
      </c>
      <c r="O14" t="s">
        <v>115</v>
      </c>
    </row>
    <row r="15" spans="2:15">
      <c r="B15">
        <v>2368010010</v>
      </c>
      <c r="C15" t="s">
        <v>121</v>
      </c>
      <c r="D15">
        <v>800193573</v>
      </c>
      <c r="E15" t="s">
        <v>134</v>
      </c>
      <c r="F15" t="s">
        <v>135</v>
      </c>
      <c r="G15" t="s">
        <v>136</v>
      </c>
      <c r="H15" s="67">
        <v>250531</v>
      </c>
      <c r="I15" s="79">
        <v>-9133</v>
      </c>
      <c r="J15">
        <v>7</v>
      </c>
      <c r="K15" t="s">
        <v>113</v>
      </c>
      <c r="L15">
        <v>5100013905</v>
      </c>
      <c r="M15" t="s">
        <v>137</v>
      </c>
      <c r="N15">
        <v>-2.92</v>
      </c>
      <c r="O15" t="s">
        <v>115</v>
      </c>
    </row>
    <row r="16" spans="2:15">
      <c r="B16">
        <v>2368010010</v>
      </c>
      <c r="C16" t="s">
        <v>121</v>
      </c>
      <c r="D16">
        <v>800193573</v>
      </c>
      <c r="E16" t="s">
        <v>134</v>
      </c>
      <c r="F16" t="s">
        <v>135</v>
      </c>
      <c r="G16" t="s">
        <v>136</v>
      </c>
      <c r="H16" s="67">
        <v>250526</v>
      </c>
      <c r="I16" s="79">
        <v>-3457</v>
      </c>
      <c r="J16">
        <v>7</v>
      </c>
      <c r="K16" t="s">
        <v>113</v>
      </c>
      <c r="L16">
        <v>5100013900</v>
      </c>
      <c r="M16" t="s">
        <v>137</v>
      </c>
      <c r="N16">
        <v>-1.1000000000000001</v>
      </c>
      <c r="O16" t="s">
        <v>115</v>
      </c>
    </row>
    <row r="17" spans="2:15">
      <c r="B17">
        <v>2368010010</v>
      </c>
      <c r="C17" t="s">
        <v>121</v>
      </c>
      <c r="D17">
        <v>800193573</v>
      </c>
      <c r="E17" t="s">
        <v>134</v>
      </c>
      <c r="F17" t="s">
        <v>135</v>
      </c>
      <c r="G17" t="s">
        <v>136</v>
      </c>
      <c r="H17" s="67">
        <v>250527</v>
      </c>
      <c r="I17" s="79">
        <v>-13435</v>
      </c>
      <c r="J17">
        <v>7</v>
      </c>
      <c r="K17" t="s">
        <v>113</v>
      </c>
      <c r="L17">
        <v>5100013901</v>
      </c>
      <c r="M17" t="s">
        <v>137</v>
      </c>
      <c r="N17">
        <v>-4.29</v>
      </c>
      <c r="O17" t="s">
        <v>115</v>
      </c>
    </row>
    <row r="18" spans="2:15">
      <c r="B18">
        <v>2368010010</v>
      </c>
      <c r="C18" t="s">
        <v>121</v>
      </c>
      <c r="D18">
        <v>800193573</v>
      </c>
      <c r="E18" t="s">
        <v>134</v>
      </c>
      <c r="F18" t="s">
        <v>124</v>
      </c>
      <c r="G18" t="s">
        <v>136</v>
      </c>
      <c r="H18" s="67">
        <v>250553</v>
      </c>
      <c r="I18" s="79">
        <v>-328230</v>
      </c>
      <c r="J18">
        <v>7</v>
      </c>
      <c r="K18" t="s">
        <v>113</v>
      </c>
      <c r="L18">
        <v>5100013906</v>
      </c>
      <c r="M18" t="s">
        <v>137</v>
      </c>
      <c r="N18">
        <v>-104.78</v>
      </c>
      <c r="O18" t="s">
        <v>115</v>
      </c>
    </row>
    <row r="19" spans="2:15">
      <c r="B19" s="248" t="s">
        <v>92</v>
      </c>
      <c r="C19" s="248"/>
      <c r="D19" s="248"/>
      <c r="E19" s="248"/>
      <c r="F19" s="248"/>
      <c r="G19" s="248"/>
      <c r="H19" s="248"/>
      <c r="I19" s="80">
        <f>SUM(I7:I18)</f>
        <v>-474561</v>
      </c>
    </row>
    <row r="21" spans="2:15">
      <c r="I21" s="79"/>
    </row>
  </sheetData>
  <mergeCells count="4">
    <mergeCell ref="B3:O3"/>
    <mergeCell ref="B4:O4"/>
    <mergeCell ref="B5:O5"/>
    <mergeCell ref="B19:H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9ADC-5B9E-4D5E-BB55-DF4B02C6C195}">
  <sheetPr>
    <tabColor rgb="FF00B0F0"/>
  </sheetPr>
  <dimension ref="B2:L48"/>
  <sheetViews>
    <sheetView showGridLines="0" zoomScale="87" zoomScaleNormal="87" workbookViewId="0">
      <selection activeCell="B21" sqref="B21"/>
    </sheetView>
  </sheetViews>
  <sheetFormatPr baseColWidth="10" defaultRowHeight="14.6"/>
  <cols>
    <col min="1" max="1" width="2.84375" customWidth="1"/>
    <col min="2" max="2" width="32.53515625" customWidth="1"/>
    <col min="3" max="3" width="25.765625" customWidth="1"/>
    <col min="4" max="4" width="14" customWidth="1"/>
    <col min="5" max="5" width="22.4609375" customWidth="1"/>
    <col min="6" max="6" width="43.53515625" bestFit="1" customWidth="1"/>
    <col min="7" max="7" width="16.07421875" customWidth="1"/>
    <col min="8" max="8" width="15.07421875" customWidth="1"/>
    <col min="9" max="9" width="12.69140625" customWidth="1"/>
    <col min="10" max="10" width="20.07421875" bestFit="1" customWidth="1"/>
    <col min="12" max="12" width="15.23046875" bestFit="1" customWidth="1"/>
  </cols>
  <sheetData>
    <row r="2" spans="2:9">
      <c r="B2" s="46" t="s">
        <v>46</v>
      </c>
      <c r="C2" s="251" t="s">
        <v>520</v>
      </c>
      <c r="D2" s="251"/>
      <c r="E2" s="251"/>
      <c r="F2" s="251"/>
      <c r="G2" s="252"/>
      <c r="H2" s="252"/>
      <c r="I2" s="252"/>
    </row>
    <row r="3" spans="2:9">
      <c r="B3" s="46" t="s">
        <v>47</v>
      </c>
      <c r="C3" s="251" t="s">
        <v>521</v>
      </c>
      <c r="D3" s="251"/>
      <c r="E3" s="251"/>
      <c r="F3" s="251"/>
      <c r="G3" s="252"/>
      <c r="H3" s="252"/>
      <c r="I3" s="252"/>
    </row>
    <row r="4" spans="2:9">
      <c r="B4" s="46" t="s">
        <v>48</v>
      </c>
      <c r="C4" s="251" t="s">
        <v>522</v>
      </c>
      <c r="D4" s="251"/>
      <c r="E4" s="251"/>
      <c r="F4" s="251"/>
      <c r="G4" s="252"/>
      <c r="H4" s="252"/>
      <c r="I4" s="252"/>
    </row>
    <row r="5" spans="2:9">
      <c r="B5" s="46" t="s">
        <v>49</v>
      </c>
      <c r="C5" s="253">
        <v>46248</v>
      </c>
      <c r="D5" s="253"/>
      <c r="E5" s="253"/>
      <c r="F5" s="253"/>
      <c r="G5" s="252"/>
      <c r="H5" s="252"/>
      <c r="I5" s="252"/>
    </row>
    <row r="6" spans="2:9">
      <c r="B6" s="46" t="s">
        <v>50</v>
      </c>
      <c r="C6" s="251" t="s">
        <v>527</v>
      </c>
      <c r="D6" s="251"/>
      <c r="E6" s="251"/>
      <c r="F6" s="251"/>
      <c r="G6" s="252"/>
      <c r="H6" s="252"/>
      <c r="I6" s="252"/>
    </row>
    <row r="7" spans="2:9">
      <c r="B7" s="46" t="s">
        <v>51</v>
      </c>
      <c r="C7" s="251" t="s">
        <v>523</v>
      </c>
      <c r="D7" s="251"/>
      <c r="E7" s="251"/>
      <c r="F7" s="251"/>
      <c r="G7" s="252"/>
      <c r="H7" s="252"/>
      <c r="I7" s="252"/>
    </row>
    <row r="8" spans="2:9">
      <c r="B8" s="46" t="s">
        <v>52</v>
      </c>
      <c r="C8" s="251" t="s">
        <v>524</v>
      </c>
      <c r="D8" s="251"/>
      <c r="E8" s="251"/>
      <c r="F8" s="251"/>
      <c r="G8" s="252"/>
      <c r="H8" s="252"/>
      <c r="I8" s="252"/>
    </row>
    <row r="9" spans="2:9">
      <c r="B9" s="46" t="s">
        <v>53</v>
      </c>
      <c r="C9" s="251" t="s">
        <v>54</v>
      </c>
      <c r="D9" s="251"/>
      <c r="E9" s="251"/>
      <c r="F9" s="251"/>
      <c r="G9" s="252"/>
      <c r="H9" s="252"/>
      <c r="I9" s="252"/>
    </row>
    <row r="10" spans="2:9">
      <c r="B10" s="46" t="s">
        <v>55</v>
      </c>
      <c r="C10" s="251" t="s">
        <v>93</v>
      </c>
      <c r="D10" s="251"/>
      <c r="E10" s="47" t="s">
        <v>56</v>
      </c>
      <c r="F10" s="48">
        <v>46247</v>
      </c>
      <c r="G10" s="252"/>
      <c r="H10" s="252"/>
      <c r="I10" s="252"/>
    </row>
    <row r="11" spans="2:9">
      <c r="B11" s="46" t="s">
        <v>57</v>
      </c>
      <c r="C11" s="154" t="s">
        <v>525</v>
      </c>
      <c r="D11" s="77"/>
      <c r="E11" s="47" t="s">
        <v>56</v>
      </c>
      <c r="F11" s="48">
        <v>46248</v>
      </c>
      <c r="G11" s="252"/>
      <c r="H11" s="252"/>
      <c r="I11" s="252"/>
    </row>
    <row r="12" spans="2:9">
      <c r="B12" s="46" t="s">
        <v>69</v>
      </c>
      <c r="C12" s="254"/>
      <c r="D12" s="255"/>
      <c r="E12" s="47" t="s">
        <v>56</v>
      </c>
      <c r="F12" s="49"/>
      <c r="G12" s="256" t="s">
        <v>526</v>
      </c>
      <c r="H12" s="256"/>
      <c r="I12" s="256"/>
    </row>
    <row r="14" spans="2:9">
      <c r="B14" s="59" t="s">
        <v>70</v>
      </c>
    </row>
    <row r="15" spans="2:9">
      <c r="B15" s="279" t="s">
        <v>71</v>
      </c>
      <c r="C15" s="279"/>
      <c r="D15" s="279"/>
      <c r="E15" s="279"/>
      <c r="F15" s="279"/>
      <c r="G15" s="279"/>
      <c r="H15" s="279"/>
      <c r="I15" s="279"/>
    </row>
    <row r="17" spans="2:12">
      <c r="B17" s="59" t="s">
        <v>72</v>
      </c>
    </row>
    <row r="18" spans="2:12">
      <c r="B18" s="60" t="s">
        <v>73</v>
      </c>
    </row>
    <row r="19" spans="2:12">
      <c r="B19" s="60" t="s">
        <v>74</v>
      </c>
    </row>
    <row r="20" spans="2:12">
      <c r="B20" s="60" t="s">
        <v>75</v>
      </c>
    </row>
    <row r="22" spans="2:12">
      <c r="B22" s="59" t="s">
        <v>76</v>
      </c>
    </row>
    <row r="23" spans="2:12" ht="15" thickBot="1"/>
    <row r="24" spans="2:12" ht="30.75" customHeight="1" thickBot="1">
      <c r="B24" s="280" t="s">
        <v>529</v>
      </c>
      <c r="C24" s="281"/>
      <c r="D24" s="281"/>
      <c r="E24" s="281"/>
      <c r="F24" s="281"/>
      <c r="G24" s="281"/>
      <c r="H24" s="281"/>
      <c r="I24" s="281"/>
      <c r="J24" s="282"/>
    </row>
    <row r="25" spans="2:12" ht="15" thickBot="1">
      <c r="D25" s="61"/>
      <c r="F25" s="61"/>
      <c r="H25" s="61"/>
      <c r="J25" s="61"/>
    </row>
    <row r="26" spans="2:12" ht="29.15">
      <c r="B26" s="177" t="s">
        <v>77</v>
      </c>
      <c r="C26" s="178" t="s">
        <v>78</v>
      </c>
      <c r="D26" s="178" t="s">
        <v>13</v>
      </c>
      <c r="E26" s="179" t="s">
        <v>79</v>
      </c>
      <c r="F26" s="179" t="s">
        <v>16</v>
      </c>
      <c r="G26" s="179" t="s">
        <v>80</v>
      </c>
      <c r="H26" s="179" t="s">
        <v>24</v>
      </c>
      <c r="I26" s="179" t="s">
        <v>81</v>
      </c>
      <c r="J26" s="179" t="s">
        <v>82</v>
      </c>
      <c r="K26" s="180" t="s">
        <v>83</v>
      </c>
    </row>
    <row r="27" spans="2:12">
      <c r="B27" s="196">
        <v>5100013869</v>
      </c>
      <c r="C27" s="197" t="s">
        <v>112</v>
      </c>
      <c r="D27" s="198">
        <v>46199</v>
      </c>
      <c r="E27" s="199" t="s">
        <v>110</v>
      </c>
      <c r="F27" s="199" t="s">
        <v>114</v>
      </c>
      <c r="G27" s="200">
        <v>5000000</v>
      </c>
      <c r="H27" s="201">
        <v>7.0000000000000001E-3</v>
      </c>
      <c r="I27" s="202">
        <f>G27*H27</f>
        <v>35000</v>
      </c>
      <c r="J27" s="203">
        <v>35000</v>
      </c>
      <c r="K27" s="204">
        <f>+I27-J27</f>
        <v>0</v>
      </c>
    </row>
    <row r="28" spans="2:12">
      <c r="B28" s="181">
        <v>5100013930</v>
      </c>
      <c r="C28" s="171" t="s">
        <v>125</v>
      </c>
      <c r="D28" s="172">
        <v>46219</v>
      </c>
      <c r="E28" s="170" t="s">
        <v>122</v>
      </c>
      <c r="F28" s="170" t="s">
        <v>126</v>
      </c>
      <c r="G28" s="173">
        <v>1196993</v>
      </c>
      <c r="H28" s="176">
        <v>0.01</v>
      </c>
      <c r="I28" s="174">
        <f t="shared" ref="I28:I29" si="0">G28*H28</f>
        <v>11969.93</v>
      </c>
      <c r="J28" s="175">
        <v>11970</v>
      </c>
      <c r="K28" s="182">
        <f>+I28-J28</f>
        <v>-6.9999999999708962E-2</v>
      </c>
      <c r="L28" s="62"/>
    </row>
    <row r="29" spans="2:12" s="62" customFormat="1" ht="15" thickBot="1">
      <c r="B29" s="183">
        <v>5100013904</v>
      </c>
      <c r="C29" s="184">
        <v>250530</v>
      </c>
      <c r="D29" s="185">
        <v>46230</v>
      </c>
      <c r="E29" s="186" t="s">
        <v>134</v>
      </c>
      <c r="F29" s="186" t="s">
        <v>137</v>
      </c>
      <c r="G29" s="187">
        <v>1829605</v>
      </c>
      <c r="H29" s="188">
        <v>0.01</v>
      </c>
      <c r="I29" s="191">
        <f t="shared" si="0"/>
        <v>18296.05</v>
      </c>
      <c r="J29" s="189">
        <v>18296</v>
      </c>
      <c r="K29" s="190">
        <f>+I29-J29</f>
        <v>4.9999999999272404E-2</v>
      </c>
      <c r="L29" s="73"/>
    </row>
    <row r="31" spans="2:12" ht="15" thickBot="1">
      <c r="J31" s="74"/>
    </row>
    <row r="32" spans="2:12">
      <c r="B32" s="63" t="s">
        <v>84</v>
      </c>
      <c r="C32" s="61"/>
      <c r="D32" s="61"/>
      <c r="E32" s="61"/>
      <c r="F32" s="61"/>
      <c r="G32" s="61"/>
      <c r="H32" s="61"/>
      <c r="I32" s="61"/>
      <c r="J32" s="64"/>
    </row>
    <row r="33" spans="2:10" ht="40.5" customHeight="1" thickBot="1">
      <c r="B33" s="276" t="s">
        <v>85</v>
      </c>
      <c r="C33" s="277"/>
      <c r="D33" s="277"/>
      <c r="E33" s="277"/>
      <c r="F33" s="277"/>
      <c r="G33" s="277"/>
      <c r="H33" s="277"/>
      <c r="I33" s="277"/>
      <c r="J33" s="278"/>
    </row>
    <row r="36" spans="2:10">
      <c r="C36" s="45"/>
      <c r="H36" s="10"/>
      <c r="I36" s="10"/>
      <c r="J36" s="10"/>
    </row>
    <row r="37" spans="2:10">
      <c r="H37" s="10"/>
      <c r="I37" s="10"/>
      <c r="J37" s="10"/>
    </row>
    <row r="38" spans="2:10">
      <c r="H38" s="10"/>
      <c r="I38" s="10"/>
      <c r="J38" s="10"/>
    </row>
    <row r="39" spans="2:10">
      <c r="B39" s="10"/>
      <c r="C39" s="10"/>
      <c r="H39" s="10"/>
      <c r="I39" s="10"/>
      <c r="J39" s="10"/>
    </row>
    <row r="40" spans="2:10">
      <c r="B40" s="10"/>
      <c r="C40" s="10"/>
    </row>
    <row r="41" spans="2:10">
      <c r="B41" s="35"/>
      <c r="C41" s="35"/>
    </row>
    <row r="42" spans="2:10">
      <c r="C42" s="10"/>
    </row>
    <row r="43" spans="2:10">
      <c r="C43" s="10"/>
    </row>
    <row r="44" spans="2:10">
      <c r="C44" s="10"/>
    </row>
    <row r="45" spans="2:10">
      <c r="C45" s="10"/>
    </row>
    <row r="46" spans="2:10">
      <c r="C46" s="10"/>
    </row>
    <row r="47" spans="2:10">
      <c r="C47" s="10"/>
    </row>
    <row r="48" spans="2:10">
      <c r="C48" s="10"/>
    </row>
  </sheetData>
  <mergeCells count="15">
    <mergeCell ref="G12:I12"/>
    <mergeCell ref="B33:J33"/>
    <mergeCell ref="C12:D12"/>
    <mergeCell ref="B15:I15"/>
    <mergeCell ref="B24:J24"/>
    <mergeCell ref="C8:F8"/>
    <mergeCell ref="C9:F9"/>
    <mergeCell ref="C2:F2"/>
    <mergeCell ref="G2:I11"/>
    <mergeCell ref="C10:D10"/>
    <mergeCell ref="C3:F3"/>
    <mergeCell ref="C4:F4"/>
    <mergeCell ref="C5:F5"/>
    <mergeCell ref="C6:F6"/>
    <mergeCell ref="C7:F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C4E2-9290-42BF-A52E-F22DCA688959}">
  <sheetPr>
    <tabColor rgb="FF00B0F0"/>
  </sheetPr>
  <dimension ref="B1:J10"/>
  <sheetViews>
    <sheetView workbookViewId="0">
      <selection activeCell="C5" sqref="C5"/>
    </sheetView>
  </sheetViews>
  <sheetFormatPr baseColWidth="10" defaultRowHeight="14.6"/>
  <sheetData>
    <row r="1" spans="2:10">
      <c r="B1" s="283" t="s">
        <v>138</v>
      </c>
      <c r="C1" s="283"/>
      <c r="D1" s="283"/>
      <c r="E1" s="283"/>
      <c r="F1" s="283"/>
      <c r="G1" s="283"/>
      <c r="H1" s="283"/>
      <c r="I1" s="283"/>
      <c r="J1" s="283"/>
    </row>
    <row r="2" spans="2:10">
      <c r="B2" s="283" t="s">
        <v>139</v>
      </c>
      <c r="C2" s="283"/>
      <c r="D2" s="283"/>
      <c r="E2" s="283"/>
      <c r="F2" s="283"/>
      <c r="G2" s="283"/>
      <c r="H2" s="283"/>
      <c r="I2" s="283"/>
      <c r="J2" s="283"/>
    </row>
    <row r="3" spans="2:10" ht="15" thickBot="1">
      <c r="B3" s="283" t="s">
        <v>115</v>
      </c>
      <c r="C3" s="283"/>
      <c r="D3" s="283"/>
      <c r="E3" s="283"/>
      <c r="F3" s="283"/>
      <c r="G3" s="283"/>
      <c r="H3" s="283"/>
      <c r="I3" s="283"/>
      <c r="J3" s="283"/>
    </row>
    <row r="4" spans="2:10">
      <c r="B4" s="81" t="s">
        <v>140</v>
      </c>
      <c r="C4" s="82" t="s">
        <v>141</v>
      </c>
      <c r="D4" s="82" t="s">
        <v>142</v>
      </c>
      <c r="E4" s="82" t="s">
        <v>143</v>
      </c>
      <c r="F4" s="82" t="s">
        <v>144</v>
      </c>
      <c r="G4" s="82" t="s">
        <v>145</v>
      </c>
      <c r="H4" s="82" t="s">
        <v>146</v>
      </c>
      <c r="I4" s="82" t="s">
        <v>147</v>
      </c>
      <c r="J4" s="83"/>
    </row>
    <row r="5" spans="2:10">
      <c r="B5" s="84">
        <v>800193573</v>
      </c>
      <c r="C5" s="85" t="s">
        <v>148</v>
      </c>
      <c r="D5" s="85">
        <v>37</v>
      </c>
      <c r="E5" s="86">
        <v>38965609</v>
      </c>
      <c r="F5" s="86">
        <v>38965609</v>
      </c>
      <c r="G5" s="86">
        <v>38965609</v>
      </c>
      <c r="H5" s="86">
        <v>389657</v>
      </c>
      <c r="I5" s="85">
        <v>0</v>
      </c>
      <c r="J5" s="87"/>
    </row>
    <row r="6" spans="2:10">
      <c r="B6" s="84">
        <v>811033997</v>
      </c>
      <c r="C6" s="85" t="s">
        <v>148</v>
      </c>
      <c r="D6" s="85">
        <v>23</v>
      </c>
      <c r="E6" s="86">
        <v>4454161</v>
      </c>
      <c r="F6" s="86">
        <v>3742993</v>
      </c>
      <c r="G6" s="86">
        <v>3742993</v>
      </c>
      <c r="H6" s="86">
        <v>37430</v>
      </c>
      <c r="I6" s="86">
        <v>711168</v>
      </c>
      <c r="J6" s="87"/>
    </row>
    <row r="7" spans="2:10">
      <c r="B7" s="84">
        <v>830028245</v>
      </c>
      <c r="C7" s="85" t="s">
        <v>148</v>
      </c>
      <c r="D7" s="85">
        <v>23</v>
      </c>
      <c r="E7" s="86">
        <v>1327594</v>
      </c>
      <c r="F7" s="86">
        <v>1115626</v>
      </c>
      <c r="G7" s="86">
        <v>1115626</v>
      </c>
      <c r="H7" s="86">
        <v>11156</v>
      </c>
      <c r="I7" s="86">
        <v>211968</v>
      </c>
      <c r="J7" s="87"/>
    </row>
    <row r="8" spans="2:10">
      <c r="B8" s="84">
        <v>900392924</v>
      </c>
      <c r="C8" s="85" t="s">
        <v>148</v>
      </c>
      <c r="D8" s="85">
        <v>39</v>
      </c>
      <c r="E8" s="86">
        <v>224125</v>
      </c>
      <c r="F8" s="86">
        <v>188341</v>
      </c>
      <c r="G8" s="86">
        <v>188341</v>
      </c>
      <c r="H8" s="86">
        <v>1318</v>
      </c>
      <c r="I8" s="86">
        <v>35784</v>
      </c>
      <c r="J8" s="87"/>
    </row>
    <row r="9" spans="2:10" ht="15" thickBot="1">
      <c r="B9" s="88">
        <v>901670478</v>
      </c>
      <c r="C9" s="89" t="s">
        <v>148</v>
      </c>
      <c r="D9" s="89">
        <v>39</v>
      </c>
      <c r="E9" s="90">
        <v>5950000</v>
      </c>
      <c r="F9" s="90">
        <v>5000000</v>
      </c>
      <c r="G9" s="90">
        <v>5000000</v>
      </c>
      <c r="H9" s="90">
        <v>35000</v>
      </c>
      <c r="I9" s="90">
        <v>950000</v>
      </c>
      <c r="J9" s="91"/>
    </row>
    <row r="10" spans="2:10">
      <c r="B10" s="85"/>
      <c r="C10" s="85"/>
      <c r="D10" s="85"/>
      <c r="E10" s="85"/>
      <c r="F10" s="85"/>
      <c r="G10" s="92">
        <f>SUM(G5:G9)</f>
        <v>49012569</v>
      </c>
      <c r="H10" s="92">
        <f>SUM(H5:H9)</f>
        <v>474561</v>
      </c>
      <c r="I10" s="85"/>
      <c r="J10" s="85"/>
    </row>
  </sheetData>
  <mergeCells count="3">
    <mergeCell ref="B1:J1"/>
    <mergeCell ref="B2:J2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Check List</vt:lpstr>
      <vt:lpstr>DECLARACION</vt:lpstr>
      <vt:lpstr>Pago</vt:lpstr>
      <vt:lpstr>REVISION ICA</vt:lpstr>
      <vt:lpstr>BORRADOR TERLICA</vt:lpstr>
      <vt:lpstr>BALANCE</vt:lpstr>
      <vt:lpstr>AUX FISCAL</vt:lpstr>
      <vt:lpstr>Validación de facturas</vt:lpstr>
      <vt:lpstr>CUADRO RETEICA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Alberto Mantilla Ortega</cp:lastModifiedBy>
  <dcterms:created xsi:type="dcterms:W3CDTF">2020-07-20T23:43:29Z</dcterms:created>
  <dcterms:modified xsi:type="dcterms:W3CDTF">2026-09-04T21:11:07Z</dcterms:modified>
</cp:coreProperties>
</file>