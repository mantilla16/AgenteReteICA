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EMPRESAS\DSAB\1_Auditoria\NIAS\GRUPO DAABON\TERMINAL DE GRANELES LIQUIDOS DEL CARIBE S.A.S\60. Impuestos\2. Ica\7. Julio\información Recibida\"/>
    </mc:Choice>
  </mc:AlternateContent>
  <xr:revisionPtr revIDLastSave="0" documentId="13_ncr:1_{C0888F77-A544-4814-9F8B-C9553014CB79}" xr6:coauthVersionLast="47" xr6:coauthVersionMax="47" xr10:uidLastSave="{00000000-0000-0000-0000-000000000000}"/>
  <bookViews>
    <workbookView xWindow="-108" yWindow="-108" windowWidth="23256" windowHeight="12456" activeTab="2" xr2:uid="{4D924631-12D7-4DFD-8820-14BB5853844A}"/>
  </bookViews>
  <sheets>
    <sheet name="Auxiliar 2368 Julio 2026 - TERL" sheetId="1" r:id="rId1"/>
    <sheet name="PT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2" l="1"/>
</calcChain>
</file>

<file path=xl/sharedStrings.xml><?xml version="1.0" encoding="utf-8"?>
<sst xmlns="http://schemas.openxmlformats.org/spreadsheetml/2006/main" count="217" uniqueCount="51">
  <si>
    <t xml:space="preserve"> Cta.mayor               *</t>
  </si>
  <si>
    <t xml:space="preserve"> Sociedad                DA09</t>
  </si>
  <si>
    <t xml:space="preserve"> Ledger                  OL</t>
  </si>
  <si>
    <t>St</t>
  </si>
  <si>
    <t>Cuenta</t>
  </si>
  <si>
    <t>Texto breve</t>
  </si>
  <si>
    <t>Asignación</t>
  </si>
  <si>
    <t>Tercero</t>
  </si>
  <si>
    <t>Fecha doc.</t>
  </si>
  <si>
    <t>Fe.contab.</t>
  </si>
  <si>
    <t>Referencia</t>
  </si>
  <si>
    <t>II</t>
  </si>
  <si>
    <t xml:space="preserve">       Importe en ML</t>
  </si>
  <si>
    <t>Período</t>
  </si>
  <si>
    <t>Cla</t>
  </si>
  <si>
    <t>Nº doc.</t>
  </si>
  <si>
    <t>Texto</t>
  </si>
  <si>
    <t>Importe valorado ML2</t>
  </si>
  <si>
    <t>Soc.</t>
  </si>
  <si>
    <t>Impuest ICA Reten 7%</t>
  </si>
  <si>
    <t>JACH DESIGNS S.A.S.</t>
  </si>
  <si>
    <t>01.07.2026</t>
  </si>
  <si>
    <t>FE10</t>
  </si>
  <si>
    <t>RE</t>
  </si>
  <si>
    <t>REPARACION MALLA PERIMETRAL MIRADOR</t>
  </si>
  <si>
    <t>DA09</t>
  </si>
  <si>
    <t>DARIO HERRERA G INVESTIGACIONE</t>
  </si>
  <si>
    <t>10.07.2026</t>
  </si>
  <si>
    <t>21.07.2026</t>
  </si>
  <si>
    <t>FE3177</t>
  </si>
  <si>
    <t>ESTUDIO DE VISITA DOMICILIARIA</t>
  </si>
  <si>
    <t>Impuest ICA Rete 10%</t>
  </si>
  <si>
    <t>CDEM &amp; CDEB S.A.S.</t>
  </si>
  <si>
    <t>16.07.2026</t>
  </si>
  <si>
    <t>30.07.2026</t>
  </si>
  <si>
    <t>FE338057</t>
  </si>
  <si>
    <t>COMPRA DE ESCUALIZADOR SURTIDOR GASOLI 1"</t>
  </si>
  <si>
    <t>EQUIS Y ZETA ESTRATEGIAS LTDA</t>
  </si>
  <si>
    <t>06.07.2026</t>
  </si>
  <si>
    <t>FEV21379</t>
  </si>
  <si>
    <t>FORTALECIMIENTO MARCA ELOGIA</t>
  </si>
  <si>
    <t>09.07.2026</t>
  </si>
  <si>
    <t>FE338043</t>
  </si>
  <si>
    <t>REPARACION MANGUERA DE 6"</t>
  </si>
  <si>
    <t>SUPER PORTUARIA S.A.S</t>
  </si>
  <si>
    <t>27.07.2026</t>
  </si>
  <si>
    <t>31.07.2026</t>
  </si>
  <si>
    <t>SERVICIOS DE OPERACION PORTUARIA</t>
  </si>
  <si>
    <t>*</t>
  </si>
  <si>
    <t>**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</si>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</sst>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 vertical="center" wrapText="1"/>
    </xf>
    <xf numFmtId="3" fontId="16" fillId="0" borderId="0" xfId="0" applyNumberFormat="1" applyFont="1"/>
    <xf numFmtId="0" fontId="16" fillId="33" borderId="0" xfId="0" applyFont="1" applyFill="1" applyAlignment="1">
      <alignment horizontal="center"/>
    </xf>
    <xf numFmtId="0" fontId="16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A88FC-01E2-4C61-820A-E09529FF3A3D}">
  <dimension ref="A2:R23"/>
  <sheetViews>
    <sheetView workbookViewId="0">
      <selection activeCell="E14" sqref="E14"/>
    </sheetView>
  </sheetViews>
  <sheetFormatPr baseColWidth="10" defaultRowHeight="14.4" x14ac:dyDescent="0.3"/>
  <sheetData>
    <row r="2" spans="1:18" x14ac:dyDescent="0.3">
      <c r="A2" t="s">
        <v>0</v>
      </c>
    </row>
    <row r="3" spans="1:18" x14ac:dyDescent="0.3">
      <c r="A3" t="s">
        <v>1</v>
      </c>
    </row>
    <row r="4" spans="1:18" x14ac:dyDescent="0.3">
      <c r="A4" t="s">
        <v>2</v>
      </c>
    </row>
    <row r="7" spans="1:18" s="2" customFormat="1" x14ac:dyDescent="0.3"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  <c r="M7" s="2" t="s">
        <v>13</v>
      </c>
      <c r="N7" s="2" t="s">
        <v>14</v>
      </c>
      <c r="O7" s="2" t="s">
        <v>15</v>
      </c>
      <c r="P7" s="2" t="s">
        <v>16</v>
      </c>
      <c r="Q7" s="2" t="s">
        <v>17</v>
      </c>
      <c r="R7" s="2" t="s">
        <v>18</v>
      </c>
    </row>
    <row r="9" spans="1:18" x14ac:dyDescent="0.3">
      <c r="D9">
        <v>2368010007</v>
      </c>
      <c r="E9" t="s">
        <v>19</v>
      </c>
      <c r="F9">
        <v>901670478</v>
      </c>
      <c r="G9" t="s">
        <v>20</v>
      </c>
      <c r="H9" t="s">
        <v>21</v>
      </c>
      <c r="I9" t="s">
        <v>21</v>
      </c>
      <c r="J9" t="s">
        <v>22</v>
      </c>
      <c r="L9" s="1">
        <v>-35000</v>
      </c>
      <c r="M9">
        <v>7</v>
      </c>
      <c r="N9" t="s">
        <v>23</v>
      </c>
      <c r="O9">
        <v>5100013869</v>
      </c>
      <c r="P9" t="s">
        <v>24</v>
      </c>
      <c r="Q9">
        <v>-10.17</v>
      </c>
      <c r="R9" t="s">
        <v>25</v>
      </c>
    </row>
    <row r="10" spans="1:18" x14ac:dyDescent="0.3">
      <c r="D10">
        <v>2368010007</v>
      </c>
      <c r="E10" t="s">
        <v>19</v>
      </c>
      <c r="F10">
        <v>900392924</v>
      </c>
      <c r="G10" t="s">
        <v>26</v>
      </c>
      <c r="H10" t="s">
        <v>27</v>
      </c>
      <c r="I10" t="s">
        <v>28</v>
      </c>
      <c r="J10" t="s">
        <v>29</v>
      </c>
      <c r="L10" s="1">
        <v>-1318</v>
      </c>
      <c r="M10">
        <v>7</v>
      </c>
      <c r="N10" t="s">
        <v>23</v>
      </c>
      <c r="O10">
        <v>5100013882</v>
      </c>
      <c r="P10" t="s">
        <v>30</v>
      </c>
      <c r="Q10">
        <v>-0.4</v>
      </c>
      <c r="R10" t="s">
        <v>25</v>
      </c>
    </row>
    <row r="11" spans="1:18" x14ac:dyDescent="0.3">
      <c r="D11">
        <v>2368010010</v>
      </c>
      <c r="E11" t="s">
        <v>31</v>
      </c>
      <c r="F11">
        <v>811033997</v>
      </c>
      <c r="G11" t="s">
        <v>32</v>
      </c>
      <c r="H11" t="s">
        <v>33</v>
      </c>
      <c r="I11" t="s">
        <v>34</v>
      </c>
      <c r="J11" t="s">
        <v>35</v>
      </c>
      <c r="L11" s="1">
        <v>-11970</v>
      </c>
      <c r="M11">
        <v>7</v>
      </c>
      <c r="N11" t="s">
        <v>23</v>
      </c>
      <c r="O11">
        <v>5100013930</v>
      </c>
      <c r="P11" t="s">
        <v>36</v>
      </c>
      <c r="Q11">
        <v>-3.73</v>
      </c>
      <c r="R11" t="s">
        <v>25</v>
      </c>
    </row>
    <row r="12" spans="1:18" x14ac:dyDescent="0.3">
      <c r="D12">
        <v>2368010010</v>
      </c>
      <c r="E12" t="s">
        <v>31</v>
      </c>
      <c r="F12">
        <v>830028245</v>
      </c>
      <c r="G12" t="s">
        <v>37</v>
      </c>
      <c r="H12" t="s">
        <v>38</v>
      </c>
      <c r="I12" t="s">
        <v>27</v>
      </c>
      <c r="J12" t="s">
        <v>39</v>
      </c>
      <c r="L12" s="1">
        <v>-11156</v>
      </c>
      <c r="M12">
        <v>7</v>
      </c>
      <c r="N12" t="s">
        <v>23</v>
      </c>
      <c r="O12">
        <v>5100013868</v>
      </c>
      <c r="P12" t="s">
        <v>40</v>
      </c>
      <c r="Q12">
        <v>-3.38</v>
      </c>
      <c r="R12" t="s">
        <v>25</v>
      </c>
    </row>
    <row r="13" spans="1:18" x14ac:dyDescent="0.3">
      <c r="D13">
        <v>2368010010</v>
      </c>
      <c r="E13" t="s">
        <v>31</v>
      </c>
      <c r="F13">
        <v>811033997</v>
      </c>
      <c r="G13" t="s">
        <v>32</v>
      </c>
      <c r="H13" t="s">
        <v>41</v>
      </c>
      <c r="I13" t="s">
        <v>34</v>
      </c>
      <c r="J13" t="s">
        <v>42</v>
      </c>
      <c r="L13" s="1">
        <v>-25460</v>
      </c>
      <c r="M13">
        <v>7</v>
      </c>
      <c r="N13" t="s">
        <v>23</v>
      </c>
      <c r="O13">
        <v>5100013927</v>
      </c>
      <c r="P13" t="s">
        <v>43</v>
      </c>
      <c r="Q13">
        <v>-7.94</v>
      </c>
      <c r="R13" t="s">
        <v>25</v>
      </c>
    </row>
    <row r="14" spans="1:18" x14ac:dyDescent="0.3">
      <c r="D14">
        <v>2368010010</v>
      </c>
      <c r="E14" t="s">
        <v>31</v>
      </c>
      <c r="F14">
        <v>800193573</v>
      </c>
      <c r="G14" t="s">
        <v>44</v>
      </c>
      <c r="H14" t="s">
        <v>45</v>
      </c>
      <c r="I14" t="s">
        <v>46</v>
      </c>
      <c r="J14">
        <v>250528</v>
      </c>
      <c r="L14" s="1">
        <v>-13542</v>
      </c>
      <c r="M14">
        <v>7</v>
      </c>
      <c r="N14" t="s">
        <v>23</v>
      </c>
      <c r="O14">
        <v>5100013902</v>
      </c>
      <c r="P14" t="s">
        <v>47</v>
      </c>
      <c r="Q14">
        <v>-4.32</v>
      </c>
      <c r="R14" t="s">
        <v>25</v>
      </c>
    </row>
    <row r="15" spans="1:18" x14ac:dyDescent="0.3">
      <c r="D15">
        <v>2368010010</v>
      </c>
      <c r="E15" t="s">
        <v>31</v>
      </c>
      <c r="F15">
        <v>800193573</v>
      </c>
      <c r="G15" t="s">
        <v>44</v>
      </c>
      <c r="H15" t="s">
        <v>45</v>
      </c>
      <c r="I15" t="s">
        <v>46</v>
      </c>
      <c r="J15">
        <v>250529</v>
      </c>
      <c r="L15" s="1">
        <v>-3564</v>
      </c>
      <c r="M15">
        <v>7</v>
      </c>
      <c r="N15" t="s">
        <v>23</v>
      </c>
      <c r="O15">
        <v>5100013903</v>
      </c>
      <c r="P15" t="s">
        <v>47</v>
      </c>
      <c r="Q15">
        <v>-1.1399999999999999</v>
      </c>
      <c r="R15" t="s">
        <v>25</v>
      </c>
    </row>
    <row r="16" spans="1:18" x14ac:dyDescent="0.3">
      <c r="D16">
        <v>2368010010</v>
      </c>
      <c r="E16" t="s">
        <v>31</v>
      </c>
      <c r="F16">
        <v>800193573</v>
      </c>
      <c r="G16" t="s">
        <v>44</v>
      </c>
      <c r="H16" t="s">
        <v>45</v>
      </c>
      <c r="I16" t="s">
        <v>46</v>
      </c>
      <c r="J16">
        <v>250530</v>
      </c>
      <c r="L16" s="1">
        <v>-18296</v>
      </c>
      <c r="M16">
        <v>7</v>
      </c>
      <c r="N16" t="s">
        <v>23</v>
      </c>
      <c r="O16">
        <v>5100013904</v>
      </c>
      <c r="P16" t="s">
        <v>47</v>
      </c>
      <c r="Q16">
        <v>-5.84</v>
      </c>
      <c r="R16" t="s">
        <v>25</v>
      </c>
    </row>
    <row r="17" spans="2:18" x14ac:dyDescent="0.3">
      <c r="D17">
        <v>2368010010</v>
      </c>
      <c r="E17" t="s">
        <v>31</v>
      </c>
      <c r="F17">
        <v>800193573</v>
      </c>
      <c r="G17" t="s">
        <v>44</v>
      </c>
      <c r="H17" t="s">
        <v>45</v>
      </c>
      <c r="I17" t="s">
        <v>46</v>
      </c>
      <c r="J17">
        <v>250531</v>
      </c>
      <c r="L17" s="1">
        <v>-9133</v>
      </c>
      <c r="M17">
        <v>7</v>
      </c>
      <c r="N17" t="s">
        <v>23</v>
      </c>
      <c r="O17">
        <v>5100013905</v>
      </c>
      <c r="P17" t="s">
        <v>47</v>
      </c>
      <c r="Q17">
        <v>-2.92</v>
      </c>
      <c r="R17" t="s">
        <v>25</v>
      </c>
    </row>
    <row r="18" spans="2:18" x14ac:dyDescent="0.3">
      <c r="D18">
        <v>2368010010</v>
      </c>
      <c r="E18" t="s">
        <v>31</v>
      </c>
      <c r="F18">
        <v>800193573</v>
      </c>
      <c r="G18" t="s">
        <v>44</v>
      </c>
      <c r="H18" t="s">
        <v>45</v>
      </c>
      <c r="I18" t="s">
        <v>46</v>
      </c>
      <c r="J18">
        <v>250526</v>
      </c>
      <c r="L18" s="1">
        <v>-3457</v>
      </c>
      <c r="M18">
        <v>7</v>
      </c>
      <c r="N18" t="s">
        <v>23</v>
      </c>
      <c r="O18">
        <v>5100013900</v>
      </c>
      <c r="P18" t="s">
        <v>47</v>
      </c>
      <c r="Q18">
        <v>-1.1000000000000001</v>
      </c>
      <c r="R18" t="s">
        <v>25</v>
      </c>
    </row>
    <row r="19" spans="2:18" x14ac:dyDescent="0.3">
      <c r="D19">
        <v>2368010010</v>
      </c>
      <c r="E19" t="s">
        <v>31</v>
      </c>
      <c r="F19">
        <v>800193573</v>
      </c>
      <c r="G19" t="s">
        <v>44</v>
      </c>
      <c r="H19" t="s">
        <v>45</v>
      </c>
      <c r="I19" t="s">
        <v>46</v>
      </c>
      <c r="J19">
        <v>250527</v>
      </c>
      <c r="L19" s="1">
        <v>-13435</v>
      </c>
      <c r="M19">
        <v>7</v>
      </c>
      <c r="N19" t="s">
        <v>23</v>
      </c>
      <c r="O19">
        <v>5100013901</v>
      </c>
      <c r="P19" t="s">
        <v>47</v>
      </c>
      <c r="Q19">
        <v>-4.29</v>
      </c>
      <c r="R19" t="s">
        <v>25</v>
      </c>
    </row>
    <row r="20" spans="2:18" x14ac:dyDescent="0.3">
      <c r="D20">
        <v>2368010010</v>
      </c>
      <c r="E20" t="s">
        <v>31</v>
      </c>
      <c r="F20">
        <v>800193573</v>
      </c>
      <c r="G20" t="s">
        <v>44</v>
      </c>
      <c r="H20" t="s">
        <v>34</v>
      </c>
      <c r="I20" t="s">
        <v>46</v>
      </c>
      <c r="J20">
        <v>250553</v>
      </c>
      <c r="L20" s="1">
        <v>-328230</v>
      </c>
      <c r="M20">
        <v>7</v>
      </c>
      <c r="N20" t="s">
        <v>23</v>
      </c>
      <c r="O20">
        <v>5100013906</v>
      </c>
      <c r="P20" t="s">
        <v>47</v>
      </c>
      <c r="Q20">
        <v>-104.78</v>
      </c>
      <c r="R20" t="s">
        <v>25</v>
      </c>
    </row>
    <row r="21" spans="2:18" x14ac:dyDescent="0.3">
      <c r="B21" t="s">
        <v>48</v>
      </c>
      <c r="L21" s="1">
        <v>-474561</v>
      </c>
    </row>
    <row r="23" spans="2:18" x14ac:dyDescent="0.3">
      <c r="B23" t="s">
        <v>49</v>
      </c>
      <c r="L23" s="1">
        <v>-474561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1508-6E6F-4875-A426-F734E60E7FCF}">
  <dimension ref="B3:O21"/>
  <sheetViews>
    <sheetView workbookViewId="0">
      <selection activeCell="C10" sqref="C10"/>
    </sheetView>
  </sheetViews>
  <sheetFormatPr baseColWidth="10" defaultRowHeight="14.4" x14ac:dyDescent="0.3"/>
  <cols>
    <col min="1" max="1" width="5.88671875" customWidth="1"/>
    <col min="2" max="2" width="11" bestFit="1" customWidth="1"/>
    <col min="3" max="3" width="19" bestFit="1" customWidth="1"/>
    <col min="4" max="4" width="10.109375" bestFit="1" customWidth="1"/>
    <col min="5" max="5" width="31" bestFit="1" customWidth="1"/>
    <col min="6" max="6" width="10.109375" hidden="1" customWidth="1"/>
    <col min="7" max="7" width="10.109375" bestFit="1" customWidth="1"/>
    <col min="8" max="8" width="9.88671875" bestFit="1" customWidth="1"/>
    <col min="9" max="9" width="12.6640625" customWidth="1"/>
    <col min="10" max="10" width="7.5546875" hidden="1" customWidth="1"/>
    <col min="11" max="11" width="3.5546875" bestFit="1" customWidth="1"/>
    <col min="12" max="12" width="11" bestFit="1" customWidth="1"/>
    <col min="13" max="13" width="42.33203125" bestFit="1" customWidth="1"/>
    <col min="14" max="14" width="8.44140625" bestFit="1" customWidth="1"/>
    <col min="15" max="15" width="5.33203125" bestFit="1" customWidth="1"/>
  </cols>
  <sheetData>
    <row r="3" spans="2:15" x14ac:dyDescent="0.3"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2:15" x14ac:dyDescent="0.3">
      <c r="B4" s="7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2:15" x14ac:dyDescent="0.3">
      <c r="B5" s="7" t="s">
        <v>2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2:15" s="3" customFormat="1" ht="45" customHeight="1" x14ac:dyDescent="0.3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</row>
    <row r="7" spans="2:15" x14ac:dyDescent="0.3">
      <c r="B7">
        <v>2368010007</v>
      </c>
      <c r="C7" t="s">
        <v>19</v>
      </c>
      <c r="D7">
        <v>901670478</v>
      </c>
      <c r="E7" t="s">
        <v>20</v>
      </c>
      <c r="F7" t="s">
        <v>21</v>
      </c>
      <c r="G7" t="s">
        <v>21</v>
      </c>
      <c r="H7" s="4" t="s">
        <v>22</v>
      </c>
      <c r="I7" s="1">
        <v>-35000</v>
      </c>
      <c r="J7">
        <v>7</v>
      </c>
      <c r="K7" t="s">
        <v>23</v>
      </c>
      <c r="L7">
        <v>5100013869</v>
      </c>
      <c r="M7" t="s">
        <v>24</v>
      </c>
      <c r="N7">
        <v>-10.17</v>
      </c>
      <c r="O7" t="s">
        <v>25</v>
      </c>
    </row>
    <row r="8" spans="2:15" x14ac:dyDescent="0.3">
      <c r="B8">
        <v>2368010007</v>
      </c>
      <c r="C8" t="s">
        <v>19</v>
      </c>
      <c r="D8">
        <v>900392924</v>
      </c>
      <c r="E8" t="s">
        <v>26</v>
      </c>
      <c r="F8" t="s">
        <v>27</v>
      </c>
      <c r="G8" t="s">
        <v>28</v>
      </c>
      <c r="H8" s="4" t="s">
        <v>29</v>
      </c>
      <c r="I8" s="1">
        <v>-1318</v>
      </c>
      <c r="J8">
        <v>7</v>
      </c>
      <c r="K8" t="s">
        <v>23</v>
      </c>
      <c r="L8">
        <v>5100013882</v>
      </c>
      <c r="M8" t="s">
        <v>30</v>
      </c>
      <c r="N8">
        <v>-0.4</v>
      </c>
      <c r="O8" t="s">
        <v>25</v>
      </c>
    </row>
    <row r="9" spans="2:15" x14ac:dyDescent="0.3">
      <c r="B9">
        <v>2368010010</v>
      </c>
      <c r="C9" t="s">
        <v>31</v>
      </c>
      <c r="D9">
        <v>811033997</v>
      </c>
      <c r="E9" t="s">
        <v>32</v>
      </c>
      <c r="F9" t="s">
        <v>33</v>
      </c>
      <c r="G9" t="s">
        <v>34</v>
      </c>
      <c r="H9" s="4" t="s">
        <v>35</v>
      </c>
      <c r="I9" s="1">
        <v>-11970</v>
      </c>
      <c r="J9">
        <v>7</v>
      </c>
      <c r="K9" t="s">
        <v>23</v>
      </c>
      <c r="L9">
        <v>5100013930</v>
      </c>
      <c r="M9" t="s">
        <v>36</v>
      </c>
      <c r="N9">
        <v>-3.73</v>
      </c>
      <c r="O9" t="s">
        <v>25</v>
      </c>
    </row>
    <row r="10" spans="2:15" x14ac:dyDescent="0.3">
      <c r="B10">
        <v>2368010010</v>
      </c>
      <c r="C10" t="s">
        <v>31</v>
      </c>
      <c r="D10">
        <v>830028245</v>
      </c>
      <c r="E10" t="s">
        <v>37</v>
      </c>
      <c r="F10" t="s">
        <v>38</v>
      </c>
      <c r="G10" t="s">
        <v>27</v>
      </c>
      <c r="H10" s="4" t="s">
        <v>39</v>
      </c>
      <c r="I10" s="1">
        <v>-11156</v>
      </c>
      <c r="J10">
        <v>7</v>
      </c>
      <c r="K10" t="s">
        <v>23</v>
      </c>
      <c r="L10">
        <v>5100013868</v>
      </c>
      <c r="M10" t="s">
        <v>40</v>
      </c>
      <c r="N10">
        <v>-3.38</v>
      </c>
      <c r="O10" t="s">
        <v>25</v>
      </c>
    </row>
    <row r="11" spans="2:15" x14ac:dyDescent="0.3">
      <c r="B11">
        <v>2368010010</v>
      </c>
      <c r="C11" t="s">
        <v>31</v>
      </c>
      <c r="D11">
        <v>811033997</v>
      </c>
      <c r="E11" t="s">
        <v>32</v>
      </c>
      <c r="F11" t="s">
        <v>41</v>
      </c>
      <c r="G11" t="s">
        <v>34</v>
      </c>
      <c r="H11" s="4" t="s">
        <v>42</v>
      </c>
      <c r="I11" s="1">
        <v>-25460</v>
      </c>
      <c r="J11">
        <v>7</v>
      </c>
      <c r="K11" t="s">
        <v>23</v>
      </c>
      <c r="L11">
        <v>5100013927</v>
      </c>
      <c r="M11" t="s">
        <v>43</v>
      </c>
      <c r="N11">
        <v>-7.94</v>
      </c>
      <c r="O11" t="s">
        <v>25</v>
      </c>
    </row>
    <row r="12" spans="2:15" x14ac:dyDescent="0.3">
      <c r="B12">
        <v>2368010010</v>
      </c>
      <c r="C12" t="s">
        <v>31</v>
      </c>
      <c r="D12">
        <v>800193573</v>
      </c>
      <c r="E12" t="s">
        <v>44</v>
      </c>
      <c r="F12" t="s">
        <v>45</v>
      </c>
      <c r="G12" t="s">
        <v>46</v>
      </c>
      <c r="H12" s="4">
        <v>250528</v>
      </c>
      <c r="I12" s="1">
        <v>-13542</v>
      </c>
      <c r="J12">
        <v>7</v>
      </c>
      <c r="K12" t="s">
        <v>23</v>
      </c>
      <c r="L12">
        <v>5100013902</v>
      </c>
      <c r="M12" t="s">
        <v>47</v>
      </c>
      <c r="N12">
        <v>-4.32</v>
      </c>
      <c r="O12" t="s">
        <v>25</v>
      </c>
    </row>
    <row r="13" spans="2:15" x14ac:dyDescent="0.3">
      <c r="B13">
        <v>2368010010</v>
      </c>
      <c r="C13" t="s">
        <v>31</v>
      </c>
      <c r="D13">
        <v>800193573</v>
      </c>
      <c r="E13" t="s">
        <v>44</v>
      </c>
      <c r="F13" t="s">
        <v>45</v>
      </c>
      <c r="G13" t="s">
        <v>46</v>
      </c>
      <c r="H13" s="4">
        <v>250529</v>
      </c>
      <c r="I13" s="1">
        <v>-3564</v>
      </c>
      <c r="J13">
        <v>7</v>
      </c>
      <c r="K13" t="s">
        <v>23</v>
      </c>
      <c r="L13">
        <v>5100013903</v>
      </c>
      <c r="M13" t="s">
        <v>47</v>
      </c>
      <c r="N13">
        <v>-1.1399999999999999</v>
      </c>
      <c r="O13" t="s">
        <v>25</v>
      </c>
    </row>
    <row r="14" spans="2:15" x14ac:dyDescent="0.3">
      <c r="B14">
        <v>2368010010</v>
      </c>
      <c r="C14" t="s">
        <v>31</v>
      </c>
      <c r="D14">
        <v>800193573</v>
      </c>
      <c r="E14" t="s">
        <v>44</v>
      </c>
      <c r="F14" t="s">
        <v>45</v>
      </c>
      <c r="G14" t="s">
        <v>46</v>
      </c>
      <c r="H14" s="4">
        <v>250530</v>
      </c>
      <c r="I14" s="1">
        <v>-18296</v>
      </c>
      <c r="J14">
        <v>7</v>
      </c>
      <c r="K14" t="s">
        <v>23</v>
      </c>
      <c r="L14">
        <v>5100013904</v>
      </c>
      <c r="M14" t="s">
        <v>47</v>
      </c>
      <c r="N14">
        <v>-5.84</v>
      </c>
      <c r="O14" t="s">
        <v>25</v>
      </c>
    </row>
    <row r="15" spans="2:15" x14ac:dyDescent="0.3">
      <c r="B15">
        <v>2368010010</v>
      </c>
      <c r="C15" t="s">
        <v>31</v>
      </c>
      <c r="D15">
        <v>800193573</v>
      </c>
      <c r="E15" t="s">
        <v>44</v>
      </c>
      <c r="F15" t="s">
        <v>45</v>
      </c>
      <c r="G15" t="s">
        <v>46</v>
      </c>
      <c r="H15" s="4">
        <v>250531</v>
      </c>
      <c r="I15" s="1">
        <v>-9133</v>
      </c>
      <c r="J15">
        <v>7</v>
      </c>
      <c r="K15" t="s">
        <v>23</v>
      </c>
      <c r="L15">
        <v>5100013905</v>
      </c>
      <c r="M15" t="s">
        <v>47</v>
      </c>
      <c r="N15">
        <v>-2.92</v>
      </c>
      <c r="O15" t="s">
        <v>25</v>
      </c>
    </row>
    <row r="16" spans="2:15" x14ac:dyDescent="0.3">
      <c r="B16">
        <v>2368010010</v>
      </c>
      <c r="C16" t="s">
        <v>31</v>
      </c>
      <c r="D16">
        <v>800193573</v>
      </c>
      <c r="E16" t="s">
        <v>44</v>
      </c>
      <c r="F16" t="s">
        <v>45</v>
      </c>
      <c r="G16" t="s">
        <v>46</v>
      </c>
      <c r="H16" s="4">
        <v>250526</v>
      </c>
      <c r="I16" s="1">
        <v>-3457</v>
      </c>
      <c r="J16">
        <v>7</v>
      </c>
      <c r="K16" t="s">
        <v>23</v>
      </c>
      <c r="L16">
        <v>5100013900</v>
      </c>
      <c r="M16" t="s">
        <v>47</v>
      </c>
      <c r="N16">
        <v>-1.1000000000000001</v>
      </c>
      <c r="O16" t="s">
        <v>25</v>
      </c>
    </row>
    <row r="17" spans="2:15" x14ac:dyDescent="0.3">
      <c r="B17">
        <v>2368010010</v>
      </c>
      <c r="C17" t="s">
        <v>31</v>
      </c>
      <c r="D17">
        <v>800193573</v>
      </c>
      <c r="E17" t="s">
        <v>44</v>
      </c>
      <c r="F17" t="s">
        <v>45</v>
      </c>
      <c r="G17" t="s">
        <v>46</v>
      </c>
      <c r="H17" s="4">
        <v>250527</v>
      </c>
      <c r="I17" s="1">
        <v>-13435</v>
      </c>
      <c r="J17">
        <v>7</v>
      </c>
      <c r="K17" t="s">
        <v>23</v>
      </c>
      <c r="L17">
        <v>5100013901</v>
      </c>
      <c r="M17" t="s">
        <v>47</v>
      </c>
      <c r="N17">
        <v>-4.29</v>
      </c>
      <c r="O17" t="s">
        <v>25</v>
      </c>
    </row>
    <row r="18" spans="2:15" x14ac:dyDescent="0.3">
      <c r="B18">
        <v>2368010010</v>
      </c>
      <c r="C18" t="s">
        <v>31</v>
      </c>
      <c r="D18">
        <v>800193573</v>
      </c>
      <c r="E18" t="s">
        <v>44</v>
      </c>
      <c r="F18" t="s">
        <v>34</v>
      </c>
      <c r="G18" t="s">
        <v>46</v>
      </c>
      <c r="H18" s="4">
        <v>250553</v>
      </c>
      <c r="I18" s="1">
        <v>-328230</v>
      </c>
      <c r="J18">
        <v>7</v>
      </c>
      <c r="K18" t="s">
        <v>23</v>
      </c>
      <c r="L18">
        <v>5100013906</v>
      </c>
      <c r="M18" t="s">
        <v>47</v>
      </c>
      <c r="N18">
        <v>-104.78</v>
      </c>
      <c r="O18" t="s">
        <v>25</v>
      </c>
    </row>
    <row r="19" spans="2:15" x14ac:dyDescent="0.3">
      <c r="B19" s="8" t="s">
        <v>50</v>
      </c>
      <c r="C19" s="8"/>
      <c r="D19" s="8"/>
      <c r="E19" s="8"/>
      <c r="F19" s="8"/>
      <c r="G19" s="8"/>
      <c r="H19" s="8"/>
      <c r="I19" s="6">
        <f>SUM(I7:I18)</f>
        <v>-474561</v>
      </c>
    </row>
    <row r="21" spans="2:15" x14ac:dyDescent="0.3">
      <c r="I21" s="1"/>
    </row>
  </sheetData>
  <mergeCells count="4">
    <mergeCell ref="B3:O3"/>
    <mergeCell ref="B4:O4"/>
    <mergeCell ref="B5:O5"/>
    <mergeCell ref="B19:H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63B2-CCC5-4950-93C5-9B26D4821AC7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29cbae-02e3-41d2-ab8a-16cd5bacc4a5">
      <Terms xmlns="http://schemas.microsoft.com/office/infopath/2007/PartnerControls"/>
    </lcf76f155ced4ddcb4097134ff3c332f>
    <TaxCatchAll xmlns="a74941c9-a2d8-4b0e-9ee1-a04240f3e38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4489AED41F6042A679AC5BDE327981" ma:contentTypeVersion="16" ma:contentTypeDescription="Crear nuevo documento." ma:contentTypeScope="" ma:versionID="a5dcf9d8f58f09932bfcbfd62d6d71ce">
  <xsd:schema xmlns:xsd="http://www.w3.org/2001/XMLSchema" xmlns:xs="http://www.w3.org/2001/XMLSchema" xmlns:p="http://schemas.microsoft.com/office/2006/metadata/properties" xmlns:ns2="a74941c9-a2d8-4b0e-9ee1-a04240f3e388" xmlns:ns3="b229cbae-02e3-41d2-ab8a-16cd5bacc4a5" targetNamespace="http://schemas.microsoft.com/office/2006/metadata/properties" ma:root="true" ma:fieldsID="3a1e253272a9142debdc81794a4a546f" ns2:_="" ns3:_="">
    <xsd:import namespace="a74941c9-a2d8-4b0e-9ee1-a04240f3e388"/>
    <xsd:import namespace="b229cbae-02e3-41d2-ab8a-16cd5bacc4a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4941c9-a2d8-4b0e-9ee1-a04240f3e3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ca96833-1b48-4c0d-abb4-150cda461dd9}" ma:internalName="TaxCatchAll" ma:showField="CatchAllData" ma:web="a74941c9-a2d8-4b0e-9ee1-a04240f3e3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29cbae-02e3-41d2-ab8a-16cd5bacc4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fa3448e-ab87-4be6-8755-850b8b32a2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FE7499-D89D-49F5-B2EF-9E4AB4B4145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5905A4-21AE-4514-972C-D6DE7BFAF876}">
  <ds:schemaRefs>
    <ds:schemaRef ds:uri="http://schemas.microsoft.com/office/2006/metadata/properties"/>
    <ds:schemaRef ds:uri="http://schemas.microsoft.com/office/infopath/2007/PartnerControls"/>
    <ds:schemaRef ds:uri="b229cbae-02e3-41d2-ab8a-16cd5bacc4a5"/>
    <ds:schemaRef ds:uri="a74941c9-a2d8-4b0e-9ee1-a04240f3e388"/>
  </ds:schemaRefs>
</ds:datastoreItem>
</file>

<file path=customXml/itemProps3.xml><?xml version="1.0" encoding="utf-8"?>
<ds:datastoreItem xmlns:ds="http://schemas.openxmlformats.org/officeDocument/2006/customXml" ds:itemID="{91273AAC-E4B5-491B-83E9-F8B48F3843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4941c9-a2d8-4b0e-9ee1-a04240f3e388"/>
    <ds:schemaRef ds:uri="b229cbae-02e3-41d2-ab8a-16cd5bacc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Auxiliar 2368 Julio 2026 - TERL</vt:lpstr>
      <vt:lpstr>PT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MANOTAS</dc:creator>
  <cp:lastModifiedBy>Russell Bedford Baq</cp:lastModifiedBy>
  <dcterms:created xsi:type="dcterms:W3CDTF">2026-08-11T17:20:22Z</dcterms:created>
  <dcterms:modified xsi:type="dcterms:W3CDTF">2026-08-12T22:39:51Z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0x0101000B4489AED41F6042A679AC5BDE327981</vt:lpwstr>
  </property>
</Properties>
</file>